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Tình huống" sheetId="2" r:id="rId6"/>
    <sheet state="visible" name="Bài 1" sheetId="3" r:id="rId7"/>
    <sheet state="visible" name="Bài 2" sheetId="4" r:id="rId8"/>
    <sheet state="visible" name="Bài 3" sheetId="5" r:id="rId9"/>
    <sheet state="visible" name="Bài 4" sheetId="6" r:id="rId10"/>
    <sheet state="visible" name="Bài 5" sheetId="7" r:id="rId11"/>
    <sheet state="visible" name="Xưởng" sheetId="8" r:id="rId12"/>
    <sheet state="visible" name="Thang điểm" sheetId="9" r:id="rId13"/>
    <sheet state="visible" name="Tổng hợp" sheetId="10" r:id="rId14"/>
    <sheet state="hidden" name="_ds" sheetId="11" r:id="rId15"/>
  </sheets>
  <definedNames/>
  <calcPr/>
</workbook>
</file>

<file path=xl/sharedStrings.xml><?xml version="1.0" encoding="utf-8"?>
<sst xmlns="http://schemas.openxmlformats.org/spreadsheetml/2006/main" count="989" uniqueCount="655">
  <si>
    <t>Bài 2 · Phủ ca và chọn tình huống (12 phút) · sau Phần 02 · trang 24–30</t>
  </si>
  <si>
    <t>CS12 · Đánh giá sản phẩm AI · Bài tập buổi sáng 16/10/2026</t>
  </si>
  <si>
    <t>Hồ sơ tình huống · Trợ lý đổi trả của Mộc Store (giả định)</t>
  </si>
  <si>
    <t>Bài 1 · Đọc báo cáo đánh giá và thu hẹp phạm vi (10 phút) · sau Phần 01 · trang 13–23</t>
  </si>
  <si>
    <t>Làm cá nhân, không tính điểm. Điền ô vàng ở cột C; cột D tự báo kết quả.</t>
  </si>
  <si>
    <t>Mộc Store là cửa hàng thời trang bán online (áo, quần, giày) qua website và Zalo. Tình huống giả định, dùng cho toàn bộ buổi sáng.</t>
  </si>
  <si>
    <t>AI in Action · Track 1 · Khóa 4. Bài tập đi kèm bộ slide "AI Evaluation" của chị Mai Anh Nguyen (66 trang). Slide của chị Mai Anh giữ nguyên; file này là phần thực hành.</t>
  </si>
  <si>
    <t>Phép thử chiều (trang 26): đổi giá trị của một thuộc tính trong tin nhắn → hành vi đúng của trợ lý có đổi không?</t>
  </si>
  <si>
    <t>Trợ lý AI "Mộc" trả lời tin nhắn về đổi hàng, trả hàng và tình trạng đơn. Khoảng 300 tin nhắn loại này mỗi ngày.</t>
  </si>
  <si>
    <t>Nhóm vừa đổi câu lệnh của trợ lý Mộc (v1.3 → v1.4) và chạy lại trên bộ đề chuẩn 50 tin nhắn đã có nhãn đúng.</t>
  </si>
  <si>
    <t>Luật chơi: CHỈ điền vào ô màu VÀNG. Ô màu XANH LÁ NHẠT tự tính và đã khoá. Cột "Kiểm tra" báo Đúng hoặc Chưa đúng ngay khi điền.</t>
  </si>
  <si>
    <t>Có đổi → là một chiều của lưới. Không đổi → chỉ là cách diễn đạt, để AI viết lại, không tốn một chiều.</t>
  </si>
  <si>
    <t>Chuyên gia: chị Ngân, trưởng nhóm chăm sóc khách hàng, 6 năm kinh nghiệm. Chị là người định nghĩa thế nào là "đạt".</t>
  </si>
  <si>
    <t>Cổng chất lượng chốt trước khi chạy: tỷ lệ đúng tổng từ 82% trở lên.</t>
  </si>
  <si>
    <t>Câu 2.14: A. Nhờ AI tạo 50 câu kiểm thử là đủ phủ.  ·  B. Người chọn ô cần thử trên lưới; AI chỉ viết thêm cách diễn đạt cho từng ô.  ·  C. Càng nhiều dòng thì bộ đề càng phủ tốt.</t>
  </si>
  <si>
    <t>Có 3 tin "hồi quy" (v1.3 đúng, v1.4 sai), cả 3 nằm ở nhóm Tra cứu đơn.</t>
  </si>
  <si>
    <t>Chính sách đổi trả</t>
  </si>
  <si>
    <t>Bài 1–5 (10–12 phút mỗi bài, sau mỗi phần trình chiếu): làm CÁ NHÂN, không tính điểm, để tự biết mình đã hiểu chưa. Chưa đúng: đọc lại trang slide ghi ở cột "Trang", sửa, rồi hỏi trong khung chat.</t>
  </si>
  <si>
    <t>Câu</t>
  </si>
  <si>
    <t>Nhóm ý định</t>
  </si>
  <si>
    <t>Xưởng (50 phút, cuối buổi): làm THEO NHÓM 4–6 người trong phòng nhóm. Có chấm điểm theo trang "Thang điểm". Mỗi nhóm nộp 1 file.</t>
  </si>
  <si>
    <t>Mã</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</si>
  <si>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</si>
  <si>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</si>
  <si>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Đề</t>
  </si>
  <si>
    <t>Tỷ lệ gõ kèm dấu % (ví dụ 84%). Số thập phân dùng dấu phẩy hay dấu chấm tùy máy; nếu ô báo "Gõ một số" thì đổi dấu.</t>
  </si>
  <si>
    <t>Nội dung</t>
  </si>
  <si>
    <t>Quy định</t>
  </si>
  <si>
    <t>Đáp án và giải thích: giảng viên chiếu ngay sau mỗi bài; bản đáp án đầy đủ gửi sau buổi học.</t>
  </si>
  <si>
    <t>Trả lời</t>
  </si>
  <si>
    <t>Số tin trong bộ đề</t>
  </si>
  <si>
    <t>Kiểm tra</t>
  </si>
  <si>
    <t>CS-1</t>
  </si>
  <si>
    <t>Trang</t>
  </si>
  <si>
    <t>Lịch buổi sáng 16/10 (trực tuyến)</t>
  </si>
  <si>
    <t>v1.3 đúng (bản đang chạy)</t>
  </si>
  <si>
    <t>v1.4 đúng (bản mới)</t>
  </si>
  <si>
    <t>2.1</t>
  </si>
  <si>
    <t>Giờ</t>
  </si>
  <si>
    <t>Đổi size hoặc màu</t>
  </si>
  <si>
    <t>Đổi hàng</t>
  </si>
  <si>
    <t>Khách viết có dấu hay không dấu. Đây có phải một chiều?  (chọn: Có / Không)</t>
  </si>
  <si>
    <t>Hoạt động</t>
  </si>
  <si>
    <t>Trong 7 ngày kể từ ngày nhận hàng, hàng còn tem mác. Miễn phí đổi lần đầu.</t>
  </si>
  <si>
    <t>CS-2</t>
  </si>
  <si>
    <t>Thời lượng</t>
  </si>
  <si>
    <t>Trả hàng, hoàn tiền</t>
  </si>
  <si>
    <t>Trong 7 ngày kể từ ngày nhận hàng. Tiền hoàn trong 3–5 ngày làm việc sau khi kho nhận lại hàng.</t>
  </si>
  <si>
    <t>CS-3</t>
  </si>
  <si>
    <t>09:00–09:05</t>
  </si>
  <si>
    <t>Hàng lỗi (bong keo, rách, sai mẫu)</t>
  </si>
  <si>
    <t>Mở đầu</t>
  </si>
  <si>
    <t>Trong 30 ngày kể từ ngày nhận hàng. Trợ lý chuyển nhân viên xử lý, không tự hứa đền bù.</t>
  </si>
  <si>
    <t>Chào lớp; giới thiệu tình huống Mộc Store (slide bài tập 1–9); trợ giảng gửi đường dẫn tài liệu</t>
  </si>
  <si>
    <t>CS-4</t>
  </si>
  <si>
    <t>Trả hàng</t>
  </si>
  <si>
    <t>Tra cứu trước khi hứa</t>
  </si>
  <si>
    <t>Trước khi xác nhận đổi, trả hay hoàn tiền: phải tra cứu đơn (ngày nhận, trạng thái).</t>
  </si>
  <si>
    <t>09:05–09:20</t>
  </si>
  <si>
    <t>CS-5</t>
  </si>
  <si>
    <t>Trình chiếu</t>
  </si>
  <si>
    <t>Thiếu mã đơn</t>
  </si>
  <si>
    <t>Trang 1–12: khoảng trống đánh giá, tình huống Notion AI</t>
  </si>
  <si>
    <t>Hỏi mã đơn hoặc số điện thoại đặt hàng. Không đoán đơn.</t>
  </si>
  <si>
    <t>CS-6</t>
  </si>
  <si>
    <t>Khách muốn gặp người</t>
  </si>
  <si>
    <t>09:20–09:40</t>
  </si>
  <si>
    <t>Khách yêu cầu gặp nhân viên, hoặc khiếu nại hàng lỗi: chuyển nhân viên.</t>
  </si>
  <si>
    <t>Tra cứu đơn</t>
  </si>
  <si>
    <t>4 nhãn ý định (giống trang 16): Đổi hàng · Trả hàng · Tra cứu đơn · Cần làm rõ</t>
  </si>
  <si>
    <t>Phần 01 · trang 13–23: vòng đời đánh giá, báo cáo, tài liệu yêu cầu</t>
  </si>
  <si>
    <t>09:40–09:50</t>
  </si>
  <si>
    <t>Tin khiếu nại hàng lỗi gắn nhãn Trả hàng kèm cờ "hàng lỗi: có". Tin không rõ đơn nào hoặc không rõ muốn gì gắn nhãn Cần làm rõ.</t>
  </si>
  <si>
    <t>Bài 1</t>
  </si>
  <si>
    <t>Công cụ trợ lý gọi được</t>
  </si>
  <si>
    <t>Đọc báo cáo đánh giá và thu hẹp phạm vi</t>
  </si>
  <si>
    <t>Công cụ</t>
  </si>
  <si>
    <t>10 phút</t>
  </si>
  <si>
    <t>Làm gì</t>
  </si>
  <si>
    <t>1</t>
  </si>
  <si>
    <t>Tổng</t>
  </si>
  <si>
    <t>09:50–10:05</t>
  </si>
  <si>
    <t>tra_cuu_don</t>
  </si>
  <si>
    <t>tra đơn theo mã đơn hoặc số điện thoại; trả về ngày nhận hàng và trạng thái</t>
  </si>
  <si>
    <t>2</t>
  </si>
  <si>
    <t>Phần 02 · trang 24–30: phủ ca, lưới đầu vào, ngân hàng tình huống</t>
  </si>
  <si>
    <t>10:05–10:17</t>
  </si>
  <si>
    <t>Bài 2</t>
  </si>
  <si>
    <t>Phủ ca và chọn tình huống</t>
  </si>
  <si>
    <t>tao_yeu_cau_doi_tra</t>
  </si>
  <si>
    <t>12 phút</t>
  </si>
  <si>
    <t>tạo yêu cầu đổi hoặc trả cho một mã đơn</t>
  </si>
  <si>
    <t>10:17–10:27</t>
  </si>
  <si>
    <t>3</t>
  </si>
  <si>
    <t>chuyen_nhan_vien</t>
  </si>
  <si>
    <t>Nghỉ</t>
  </si>
  <si>
    <t>chuyển cuộc trò chuyện cho nhân viên, kèm lý do</t>
  </si>
  <si>
    <t>Câu 1.6: A. Phát hành ngay: tổng tăng 4 điểm và đã qua cổng.  ·  B. Chưa phát hành: mở đọc 3 tin hồi quy ở nhóm Tra cứu đơn, hiểu vì sao sai rồi mới quyết định.  ·  C. Quay về v1.3: tổng chỉ tăng 2 tin, chắc chắn là nhiễu.</t>
  </si>
  <si>
    <t>Nghỉ 10 phút</t>
  </si>
  <si>
    <t>Không</t>
  </si>
  <si>
    <t>Chưa có công cụ tra tồn kho (dùng ở Bài 4).</t>
  </si>
  <si>
    <t>10:27–10:40</t>
  </si>
  <si>
    <t>Câu 1.8: A. Làm khách hài lòng hơn mỗi khi đổi trả.  ·  B. Đọc 1 tin nhắn đổi trả → gắn đúng 1 trong 4 nhãn ý định, dưới 2 giây.  ·  C. Trả lời mọi câu hỏi của khách về đơn hàng và chính sách.</t>
  </si>
  <si>
    <t>Phần 03 · trang 31–36: đọc vết thực thi, mã lỗi</t>
  </si>
  <si>
    <t>Mã lỗi dùng ở Bài 3 và Xưởng (trang 35)</t>
  </si>
  <si>
    <t>Câu 1.9: Trục 1. Tách theo việc  ·  Trục 2. Tách theo điều kiện đầu vào  ·  Trục 3. Tách theo mức tự chủ</t>
  </si>
  <si>
    <t>10:40–10:50</t>
  </si>
  <si>
    <t>Mã lỗi</t>
  </si>
  <si>
    <t>Nghĩa</t>
  </si>
  <si>
    <t>Bài 3</t>
  </si>
  <si>
    <t>Đọc vết thực thi, tìm bước sai đầu tiên</t>
  </si>
  <si>
    <t>wrong_intent</t>
  </si>
  <si>
    <t>Hiểu sai nhu cầu chính của khách</t>
  </si>
  <si>
    <t>missing_lookup</t>
  </si>
  <si>
    <t>10:50–11:12</t>
  </si>
  <si>
    <t>Không tra cứu dữ liệu trước khi trả lời</t>
  </si>
  <si>
    <t>premature_commit</t>
  </si>
  <si>
    <t>Phần 04–05 · trang 37–50: chấm tự động, chấm bằng mã lệnh</t>
  </si>
  <si>
    <t>Hứa kết quả khi chưa đủ điều kiện</t>
  </si>
  <si>
    <t>4</t>
  </si>
  <si>
    <t>1.1</t>
  </si>
  <si>
    <t>missing_escalation</t>
  </si>
  <si>
    <t>Không chuyển nhân viên khi vượt thẩm quyền</t>
  </si>
  <si>
    <t>11:12–11:22</t>
  </si>
  <si>
    <t>Trên bộ 50 tin, 1 tin đổi kết quả làm tỷ lệ đúng thay đổi bao nhiêu điểm phần trăm? (gõ một số)</t>
  </si>
  <si>
    <t>5</t>
  </si>
  <si>
    <t>Bài 4</t>
  </si>
  <si>
    <t>no_next_step</t>
  </si>
  <si>
    <t>Đúng chính sách nhưng thiếu bước tiếp theo</t>
  </si>
  <si>
    <t>Chọn cách chấm và ra kết luận</t>
  </si>
  <si>
    <t>Bảng đối chiếu từ ngữ: slide của chị Mai Anh ↔ bài tập</t>
  </si>
  <si>
    <t>11:22–11:32</t>
  </si>
  <si>
    <t>Trên slide</t>
  </si>
  <si>
    <t>Trong bài tập</t>
  </si>
  <si>
    <t>eval, evals</t>
  </si>
  <si>
    <t>bài đánh giá</t>
  </si>
  <si>
    <t>11:32–11:48</t>
  </si>
  <si>
    <t>reference dataset, dataset</t>
  </si>
  <si>
    <t>bộ đề chuẩn, bộ đề</t>
  </si>
  <si>
    <t>golden outputs</t>
  </si>
  <si>
    <t>Phần 06 · trang 51–59: hiệu chỉnh giám khảo AI</t>
  </si>
  <si>
    <t>đáp án mẫu</t>
  </si>
  <si>
    <t>baseline · candidate</t>
  </si>
  <si>
    <t>11:48–11:58</t>
  </si>
  <si>
    <t>bản đang chạy · bản mới</t>
  </si>
  <si>
    <t>Bài 5</t>
  </si>
  <si>
    <t>pass rate</t>
  </si>
  <si>
    <t>tỷ lệ đạt</t>
  </si>
  <si>
    <t>Hiệu chỉnh giám khảo AI</t>
  </si>
  <si>
    <t>6</t>
  </si>
  <si>
    <t>quality gate, threshold</t>
  </si>
  <si>
    <t>cổng chất lượng, ngưỡng</t>
  </si>
  <si>
    <t>7</t>
  </si>
  <si>
    <t>regression</t>
  </si>
  <si>
    <t>hồi quy: ca trước đạt, nay trượt</t>
  </si>
  <si>
    <t>8</t>
  </si>
  <si>
    <t>slice</t>
  </si>
  <si>
    <t>nhóm (cắt theo một thuộc tính)</t>
  </si>
  <si>
    <t>9</t>
  </si>
  <si>
    <t>unit of AI work</t>
  </si>
  <si>
    <t>11:58–12:06</t>
  </si>
  <si>
    <t>đơn vị công việc AI</t>
  </si>
  <si>
    <t>10</t>
  </si>
  <si>
    <t>dimension</t>
  </si>
  <si>
    <t>chiều</t>
  </si>
  <si>
    <t>Phần 07 · trang 60–66: đưa chuyên gia vào vòng lặp, tổng kết</t>
  </si>
  <si>
    <t>11</t>
  </si>
  <si>
    <t>User Input Grid</t>
  </si>
  <si>
    <t>lưới đầu vào</t>
  </si>
  <si>
    <t>12:06–12:56</t>
  </si>
  <si>
    <t>12</t>
  </si>
  <si>
    <t>representative · challenge · critical regression</t>
  </si>
  <si>
    <t>Xưởng</t>
  </si>
  <si>
    <t>đại diện · thử thách · hồi quy nghiêm trọng</t>
  </si>
  <si>
    <t>13</t>
  </si>
  <si>
    <t>Hướng dẫn 4 phút; làm trong phòng nhóm 12:10–12:53; soát và nộp 12:53–12:56 (nhóm 4–6 người, có chấm điểm)</t>
  </si>
  <si>
    <t>trace · transcript</t>
  </si>
  <si>
    <t>50 phút</t>
  </si>
  <si>
    <t>vết thực thi · lời trợ lý nói</t>
  </si>
  <si>
    <t>14</t>
  </si>
  <si>
    <t>trace codes</t>
  </si>
  <si>
    <t>12:56–13:00</t>
  </si>
  <si>
    <t>mã lỗi (giữ nguyên tên như trang 35)</t>
  </si>
  <si>
    <t>Nộp bài</t>
  </si>
  <si>
    <t>15</t>
  </si>
  <si>
    <t>specification gap · architectural issue · generalization gap</t>
  </si>
  <si>
    <t>Nộp file lên VLearn, kết thúc buổi sáng</t>
  </si>
  <si>
    <t>thiếu đặc tả · thiếu năng lực hệ thống · thiếu nhất quán</t>
  </si>
  <si>
    <t>16</t>
  </si>
  <si>
    <t>code-based eval</t>
  </si>
  <si>
    <t>26</t>
  </si>
  <si>
    <t>chấm bằng mã lệnh</t>
  </si>
  <si>
    <t>17</t>
  </si>
  <si>
    <t>2.2</t>
  </si>
  <si>
    <t>LLM judge, LLM-as-judge</t>
  </si>
  <si>
    <t>giám khảo AI</t>
  </si>
  <si>
    <t>18</t>
  </si>
  <si>
    <t>Tin nhắn có mã đơn hay không có mã đơn. Đây có phải một chiều?  (chọn: Có / Không)</t>
  </si>
  <si>
    <t>referent</t>
  </si>
  <si>
    <t>căn cứ kiểm chứng</t>
  </si>
  <si>
    <t>19</t>
  </si>
  <si>
    <t>calibration</t>
  </si>
  <si>
    <t>hiệu chỉnh</t>
  </si>
  <si>
    <t>20</t>
  </si>
  <si>
    <t>Có</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</si>
  <si>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</si>
  <si>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</si>
  <si>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</si>
  <si>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</si>
  <si>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</si>
  <si>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</si>
  <si>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</si>
  <si>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</si>
  <si>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</si>
  <si>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</si>
  <si>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</si>
  <si>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</si>
  <si>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</si>
  <si>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</si>
  <si>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</si>
  <si>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</si>
  <si>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</si>
  <si>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1.2</t>
  </si>
  <si>
    <t>expert in the loop</t>
  </si>
  <si>
    <t>Tỷ lệ đúng tổng của v1.4 là bao nhiêu? (gõ kèm %)</t>
  </si>
  <si>
    <t>đưa chuyên gia vào vòng lặp</t>
  </si>
  <si>
    <t>2.3</t>
  </si>
  <si>
    <t>Khách nói lịch sự hay cộc lốc. Đây có phải một chiều?  (chọn: Có / Không)</t>
  </si>
  <si>
    <t>2.4</t>
  </si>
  <si>
    <t>Đơn còn trong 7 ngày, đã quá 7 ngày, hay là hàng lỗi trong 30 ngày. Đây có phải một chiều?  (chọn: Có / Không)</t>
  </si>
  <si>
    <t>1.3</t>
  </si>
  <si>
    <t>v1.4 có qua cổng chất lượng (≥ 82%) không?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</si>
  <si>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</si>
  <si>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</si>
  <si>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</si>
  <si>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</si>
  <si>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</si>
  <si>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</si>
  <si>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1.4</t>
  </si>
  <si>
    <t>Tỷ lệ đúng của nhóm Tra cứu đơn ở v1.4 là bao nhiêu? (gõ kèm %)</t>
  </si>
  <si>
    <t>29</t>
  </si>
  <si>
    <t>2.8</t>
  </si>
  <si>
    <t>Nhóm loại 12 tổ hợp phi lý. Còn lại bao nhiêu tổ hợp?</t>
  </si>
  <si>
    <t>1.5</t>
  </si>
  <si>
    <t>Nhóm Tra cứu đơn tụt bao nhiêu điểm phần trăm? (gõ một số)</t>
  </si>
  <si>
    <t>2.9</t>
  </si>
  <si>
    <t>Từ 24 tổ hợp, nhóm chọn 16 tình huống đáng thử; mỗi tình huống viết 3 cách diễn đạt. Bộ đề có bao nhiêu đầu vào?</t>
  </si>
  <si>
    <t>1.6</t>
  </si>
  <si>
    <t>Kết luận nào đúng?</t>
  </si>
  <si>
    <t>B</t>
  </si>
  <si>
    <t>2.10</t>
  </si>
  <si>
    <t>1.7</t>
  </si>
  <si>
    <t>"Mình nhận áo hôm qua, chật quá, đổi sang size L giúp mình, mã MS-1043." Loại tình huống?  (chọn: Đại diện / Thử thách / Hồi quy nghiêm trọng)</t>
  </si>
  <si>
    <t>Muốn tin một khoảng chênh 3 điểm phần trăm là thật (độ tin 95%), cần khoảng bao nhiêu ca?  (chọn: Khoảng 100 ca / Khoảng 1.000 ca / Khoảng 10.000 ca)</t>
  </si>
  <si>
    <t>Khoảng 1.000 ca</t>
  </si>
  <si>
    <t>Đại diện</t>
  </si>
  <si>
    <t>1.8</t>
  </si>
  <si>
    <t>Mục tiêu "Dùng AI để chăm sóc khách đổi trả tốt hơn" quá rộng. Câu nào là đơn vị công việc AI đo được?</t>
  </si>
  <si>
    <t>30</t>
  </si>
  <si>
    <t>2.11</t>
  </si>
  <si>
    <t>"Cái đơn hôm bữa ấy, thôi giờ mình không lấy nữa được không?" Loại tình huống?  (chọn: Đại diện / Thử thách / Hồi quy nghiêm trọng)</t>
  </si>
  <si>
    <t>Thử thách</t>
  </si>
  <si>
    <t>1.9</t>
  </si>
  <si>
    <t>Tách "tin nhắn rõ ràng" và "tin nhắn mơ hồ" để đặt kỳ vọng khác nhau (tin mơ hồ thì hỏi lại) là thu hẹp theo trục nào?</t>
  </si>
  <si>
    <t>2.12</t>
  </si>
  <si>
    <t>"Mình đặt 2 đơn, đơn MS-1050 muốn trả, đơn MS-1051 muốn đổi size." Loại tình huống?  (chọn: Đại diện / Thử thách / Hồi quy nghiêm trọng)</t>
  </si>
  <si>
    <t>Trục 2</t>
  </si>
  <si>
    <t>2.13</t>
  </si>
  <si>
    <t>"Đơn MS-0871 mình nhận 20 ngày rồi, trả lấy tiền được không?" Tuần trước trợ lý từng hứa hoàn tiền cho đúng kiểu tin này. Loại tình huống?  (chọn: Đại diện / Thử thách / Hồi quy nghiêm trọng)</t>
  </si>
  <si>
    <t>Hồi quy nghiêm trọng</t>
  </si>
  <si>
    <t>Số câu đúng</t>
  </si>
  <si>
    <t>2.14</t>
  </si>
  <si>
    <t>Câu nào đúng về việc dùng AI tạo ca kiểm thử?</t>
  </si>
  <si>
    <t>/ 9 câu</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</si>
  <si>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</si>
  <si>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</si>
  <si>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</si>
  <si>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</si>
  <si>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</si>
  <si>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</si>
  <si>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</si>
  <si>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</si>
  <si>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</si>
  <si>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</si>
  <si>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</si>
  <si>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</si>
  <si>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</si>
  <si>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</si>
  <si>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</si>
  <si>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</si>
  <si>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</si>
  <si>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</si>
  <si>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</si>
  <si>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</si>
  <si>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</si>
  <si>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</si>
  <si>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</si>
  <si>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</si>
  <si>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</si>
  <si>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</si>
  <si>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</si>
  <si>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</si>
  <si>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</si>
  <si>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</si>
  <si>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</si>
  <si>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</si>
  <si>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</si>
  <si>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</si>
  <si>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</si>
  <si>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</si>
  <si>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</si>
  <si>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33</t>
  </si>
  <si>
    <t>v1.4</t>
  </si>
  <si>
    <t>3.2</t>
  </si>
  <si>
    <t>T1 · Mã lỗi gốc là gì?  (chọn: wrong_intent / missing_lookup / premature_commit / missing_escalation / no_next_step)</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</si>
  <si>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</si>
  <si>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</si>
  <si>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</si>
  <si>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</si>
  <si>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</si>
  <si>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</si>
  <si>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</si>
  <si>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</si>
  <si>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</si>
  <si>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</si>
  <si>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</si>
  <si>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</si>
  <si>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</si>
  <si>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</si>
  <si>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</si>
  <si>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35</t>
  </si>
  <si>
    <t>3.3</t>
  </si>
  <si>
    <t>T2 · Bước sai đầu tiên là bước số mấy?</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</si>
  <si>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</si>
  <si>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</si>
  <si>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Thiếu đặc tả → sửa câu lệnh</t>
  </si>
  <si>
    <t>3.4</t>
  </si>
  <si>
    <t>T2 · Mã lỗi gốc là gì?  (chọn: wrong_intent / missing_lookup / premature_commit / missing_escalation / no_next_step)</t>
  </si>
  <si>
    <t>39</t>
  </si>
  <si>
    <t>4.2</t>
  </si>
  <si>
    <t>3.5</t>
  </si>
  <si>
    <t>T3 · Bước sai đầu tiên là bước số mấy?</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</si>
  <si>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</si>
  <si>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Thiếu năng lực hệ thống → sửa kỹ thuật</t>
  </si>
  <si>
    <t>3.6</t>
  </si>
  <si>
    <t>T3 · Mã lỗi gốc là gì?  (chọn: wrong_intent / missing_lookup / premature_commit / missing_escalation / no_next_step)</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</si>
  <si>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</si>
  <si>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</si>
  <si>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Lúc được lúc không → viết bài đánh giá tự động</t>
  </si>
  <si>
    <t>3.7</t>
  </si>
  <si>
    <t>T4 · Bước sai đầu tiên là bước số mấy?</t>
  </si>
  <si>
    <t>4.4</t>
  </si>
  <si>
    <t>Tiêu chí: nhãn ý định là đúng 1 trong 4 nhãn cho phép. Bộ chấm?  (chọn: Mã lệnh / Giám khảo AI / Người quyết)</t>
  </si>
  <si>
    <t>Mã lệnh</t>
  </si>
  <si>
    <t>Bài 5 · Hiệu chỉnh giám khảo AI (10 phút) · sau Phần 06 · trang 51–59</t>
  </si>
  <si>
    <t>3.8</t>
  </si>
  <si>
    <t>T4 · Mã lỗi gốc là gì?  (chọn: wrong_intent / missing_lookup / premature_commit / missing_escalation / no_next_step)</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</si>
  <si>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</si>
  <si>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</si>
  <si>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</si>
  <si>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40</t>
  </si>
  <si>
    <t>4.5</t>
  </si>
  <si>
    <t>Tin</t>
  </si>
  <si>
    <t>Tiêu chí: mã đơn trong câu trả lời trùng mã khách đưa (không bịa mã). Bộ chấm?  (chọn: Mã lệnh / Giám khảo AI / Người quyết)</t>
  </si>
  <si>
    <t>Chuyên gia (chị Ngân)</t>
  </si>
  <si>
    <t>3.9</t>
  </si>
  <si>
    <t>Giám khảo AI</t>
  </si>
  <si>
    <t>T2 · Vì sao chỉ đọc lời trợ lý nói thì không thấy lỗi?</t>
  </si>
  <si>
    <t>A</t>
  </si>
  <si>
    <t>Đ</t>
  </si>
  <si>
    <t>46</t>
  </si>
  <si>
    <t>4.6</t>
  </si>
  <si>
    <t>Tiêu chí: có gọi tra_cuu_don trước khi xác nhận đổi trả. Bộ chấm?  (chọn: Mã lệnh / Giám khảo AI / Người quyết)</t>
  </si>
  <si>
    <t>K</t>
  </si>
  <si>
    <t>45</t>
  </si>
  <si>
    <t>32</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</si>
  <si>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</si>
  <si>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</si>
  <si>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</si>
  <si>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</si>
  <si>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</si>
  <si>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</si>
  <si>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</si>
  <si>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4.9</t>
  </si>
  <si>
    <t>Tiêu chí: đề xuất mức đền bù cho hàng lỗi có hợp lý với từng khách không. Bộ chấm?  (chọn: Mã lệnh / Giám khảo AI / Người quyết)</t>
  </si>
  <si>
    <t>Người quyết</t>
  </si>
  <si>
    <t>53</t>
  </si>
  <si>
    <t>5.2</t>
  </si>
  <si>
    <t>Giám khảo chấm Đạt bao nhiêu tin?</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</si>
  <si>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</si>
  <si>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</si>
  <si>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41</t>
  </si>
  <si>
    <t>Tên nhóm và thành viên:</t>
  </si>
  <si>
    <t>4.10</t>
  </si>
  <si>
    <t>Đầu ra: "Ý định: Đổi hàng". Mã kiểm tra trả về?  (chọn: Đạt · đúng 1 nhãn / Không đạt · không có nhãn hợp lệ / Không đạt · nhiều hơn 1 nhãn)</t>
  </si>
  <si>
    <t>5.3</t>
  </si>
  <si>
    <t>Số tin hai bên khớp nhau?</t>
  </si>
  <si>
    <t>Đạt · đúng 1 nhãn</t>
  </si>
  <si>
    <t>Tên nhóm: NaCl
Thành viên:
1. Nguyễn Thị Hồng Nhung - 2A202602557
2. Phan Thị Khánh Linh -  2A202602360
3. Trần Thị Thu Trang - 2A202602581
4. Thân Thị Kim Chi - 2A202602797
5. Hồ Hoàng Phương Anh - 2A202602460</t>
  </si>
  <si>
    <t>5.4</t>
  </si>
  <si>
    <t>Ô "cả hai Đạt" (nhận đúng ca đạt) có bao nhiêu tin?</t>
  </si>
  <si>
    <t>X1 · Đơn vị công việc AI (4 phút · 1 điểm)</t>
  </si>
  <si>
    <t>44</t>
  </si>
  <si>
    <t>4.11</t>
  </si>
  <si>
    <t>5.5</t>
  </si>
  <si>
    <t>Viết 1 câu: Đọc [đầu vào] → [đầu ra kiểm được], [ràng buộc]. Khác với câu 1.8 của Bài 1: chọn việc SOẠN CÂU TRẢ LỜI đổi trả, không phải việc gắn nhãn.</t>
  </si>
  <si>
    <t>Đầu ra: "Ý định: đổi size". Mã kiểm tra trả về?  (chọn: Đạt · đúng 1 nhãn / Không đạt · không có nhãn hợp lệ / Không đạt · nhiều hơn 1 nhãn)</t>
  </si>
  <si>
    <t>Ô "giám khảo Đạt, chuyên gia Không đạt" (cho qua lỗi) có bao nhiêu tin?</t>
  </si>
  <si>
    <t>Câu của nhóm</t>
  </si>
  <si>
    <t>Không đạt · không có nhãn hợp lệ</t>
  </si>
  <si>
    <t>Đọc 1 tin nhắn đổi trả của khách (kèm kết quả tra_cuu_don) → soạn 1 câu trả lời đúng chính sách CS-1 đến CS-6: đã tra cứu đơn trước khi hứa, không bịa mã đơn, nêu 1 bước tiếp theo cụ thể (tạo yêu cầu / hỏi mã đơn / chuyển người), tối đa 80 từ, phản hồi dưới 2 giây; ca hàng lỗi hoặc khách đòi gặp người thì gọi chuyen_nhan_vien kèm lý do, không tự hứa đền bù.</t>
  </si>
  <si>
    <t>5.6</t>
  </si>
  <si>
    <t>Ô "giám khảo Không đạt, chuyên gia Đạt" (chặn nhầm) có bao nhiêu tin?</t>
  </si>
  <si>
    <t>4.12</t>
  </si>
  <si>
    <t>Đầu ra: "Ý định: Đổi hàng; Trả hàng". Mã kiểm tra trả về?  (chọn: Đạt · đúng 1 nhãn / Không đạt · không có nhãn hợp lệ / Không đạt · nhiều hơn 1 nhãn)</t>
  </si>
  <si>
    <t>Không đạt · nhiều hơn 1 nhãn</t>
  </si>
  <si>
    <t>5.7</t>
  </si>
  <si>
    <t>Ô "cả hai Không đạt" (bắt đúng ca trượt) có bao nhiêu tin?</t>
  </si>
  <si>
    <t>4.13</t>
  </si>
  <si>
    <t>Một bài đánh giá mới chạy ra tỷ lệ đạt 0% trên cả 50 tin. Việc đầu tiên nên làm?</t>
  </si>
  <si>
    <t>5.8</t>
  </si>
  <si>
    <t>TPR là bao nhiêu? (gõ kèm %, 1 chữ số thập phân)</t>
  </si>
  <si>
    <t>47</t>
  </si>
  <si>
    <t>4.14</t>
  </si>
  <si>
    <t>Đọc bảng v1.3 / v1.4. Kết luận nào đúng?  (chọn: Phát hành / Lặp tiếp / Quay về bản cũ)</t>
  </si>
  <si>
    <t>X2 · Chiều và phễu (6 phút · 1 điểm)</t>
  </si>
  <si>
    <t>Lặp tiếp</t>
  </si>
  <si>
    <t>Chọn 3 chiều qua phép thử (ghi rõ hành vi đúng đổi thế nào), số giá trị mỗi chiều, số tổ hợp phi lý loại đi, số tình huống chọn, số cách diễn đạt. File tự tính số đầu vào.</t>
  </si>
  <si>
    <t>#</t>
  </si>
  <si>
    <t>5.9</t>
  </si>
  <si>
    <t>Chiều</t>
  </si>
  <si>
    <t>TNR là bao nhiêu? (gõ kèm %)</t>
  </si>
  <si>
    <t>Số giá trị</t>
  </si>
  <si>
    <t>Hành vi đúng đổi thế nào khi đổi giá trị (phép thử, trang 26)</t>
  </si>
  <si>
    <t>50</t>
  </si>
  <si>
    <t>Ý định (Đổi hàng / Trả hàng / Tra cứu đơn / Cần làm rõ)</t>
  </si>
  <si>
    <t>4.15</t>
  </si>
  <si>
    <t>Khi Lặp tiếp, đòn nào làm trước?  (chọn: Sửa câu lệnh / Đổi mô hình / Đổi kiến trúc)</t>
  </si>
  <si>
    <t>Đổi → tra đơn rồi tạo yêu cầu đổi (CS-1); Trả → tạo yêu cầu trả + báo hoàn tiền 3–5 ngày sau khi kho nhận (CS-2); Tra cứu → chỉ báo trạng thái, không tạo yêu cầu; Cần làm rõ → hỏi lại khách muốn gì.</t>
  </si>
  <si>
    <t>Sửa câu lệnh</t>
  </si>
  <si>
    <t>Độ đủ thông tin (đủ mã đơn / thiếu mã đơn / mơ hồ)</t>
  </si>
  <si>
    <t>Đủ mã đơn → gọi tra_cuu_don rồi xử lý (CS-4); thiếu mã đơn → hỏi mã đơn hoặc số điện thoại, không đoán đơn, không tạo yêu cầu (CS-5); mơ hồ → gắn Cần làm rõ và hỏi lại đơn nào, muốn gì.</t>
  </si>
  <si>
    <t>Tình trạng đơn (trong 7 ngày / quá 7 ngày / hàng lỗi trong 30 ngày)</t>
  </si>
  <si>
    <t>Trong 7 ngày → tạo yêu cầu đổi/trả (CS-1, CS-2); quá 7 ngày (không lỗi) → từ chối, nêu quy định 7 ngày, không hứa hoàn tiền; hàng lỗi trong 30 ngày → gọi chuyen_nhan_vien, không tự hứa đền bù (CS-3, CS-6).</t>
  </si>
  <si>
    <t>5.10</t>
  </si>
  <si>
    <t>Với ngưỡng 85%, kết luận nào đúng?</t>
  </si>
  <si>
    <t>Số tổ hợp (tự tính)</t>
  </si>
  <si>
    <t>/ 15 câu</t>
  </si>
  <si>
    <t>56</t>
  </si>
  <si>
    <t>5.11</t>
  </si>
  <si>
    <t>Số tổ hợp phi lý loại đi</t>
  </si>
  <si>
    <t>Ô nào nguy hiểm nhất?  (chọn: Cho qua lỗi / Chặn nhầm)</t>
  </si>
  <si>
    <t>Cho qua lỗi</t>
  </si>
  <si>
    <t>Còn lại (tự tính)</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</si>
  <si>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</si>
  <si>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</si>
  <si>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Số tình huống chọn để thử</t>
  </si>
  <si>
    <t>55</t>
  </si>
  <si>
    <t>5.13</t>
  </si>
  <si>
    <t>Sau 3 vòng: tập hiệu chỉnh TPR 90%, TNR 89%; tập kiểm tra giữ riêng TPR 88%, TNR 85%. Chênh lớn nhất giữa hai tập là bao nhiêu điểm?</t>
  </si>
  <si>
    <t>Số cách diễn đạt mỗi tình huống</t>
  </si>
  <si>
    <t>Số đầu vào của bộ đề (tự tính)</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</si>
  <si>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</si>
  <si>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</si>
  <si>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</si>
  <si>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</si>
  <si>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Sai</t>
  </si>
  <si>
    <t>5.16</t>
  </si>
  <si>
    <t>"Cho giám khảo chấm thang 1–10 để kết quả chi tiết hơn."  (chọn: Đúng / Sai)</t>
  </si>
  <si>
    <t>52</t>
  </si>
  <si>
    <t>5.17</t>
  </si>
  <si>
    <t>"Dùng 3 giám khảo thì lấy kết luận theo đa số phiếu."  (chọn: Đúng / Sai)</t>
  </si>
  <si>
    <t>X3 · 8 tình huống (9 phút · 2 điểm)</t>
  </si>
  <si>
    <t>5.18</t>
  </si>
  <si>
    <t>"Khi chính các chuyên gia chấm lệch nhau nhiều, phải sửa tiêu chí trước khi nghĩ đến tự động hóa."  (chọn: Đúng / Sai)</t>
  </si>
  <si>
    <t>8 tình huống cho trợ lý Mộc: tin nhắn của khách, hành vi đúng mong đợi (dẫn chính sách CS-1 đến CS-6), loại tình huống. Có đủ 3 loại; ít nhất 3 tình huống thử thách.</t>
  </si>
  <si>
    <t>Đúng</t>
  </si>
  <si>
    <t>Tin nhắn của khách</t>
  </si>
  <si>
    <t>Hành vi đúng mong đợi (dẫn CS-1 đến CS-6)</t>
  </si>
  <si>
    <t>Loại tình huống</t>
  </si>
  <si>
    <t>"Mình nhận áo hôm qua, mặc chật, đổi sang size L giúp mình nhé, mã MS-2001."</t>
  </si>
  <si>
    <t>58</t>
  </si>
  <si>
    <t>Gọi tra_cuu_don(MS-2001) → nhận 1 ngày, trong 7 ngày → gọi tao_yeu_cau_doi_tra (đổi size L), báo miễn phí đổi lần đầu, nhắc giữ tem mác (CS-1, CS-4).</t>
  </si>
  <si>
    <t>/ 18 câu</t>
  </si>
  <si>
    <t>"Đơn MS-2002 giao 3 ngày trước, mình muốn trả hàng lấy lại tiền."</t>
  </si>
  <si>
    <t>Gọi tra_cuu_don(MS-2002) → trong 7 ngày → gọi tao_yeu_cau_doi_tra (trả hàng), báo tiền hoàn trong 3–5 ngày làm việc sau khi kho nhận lại hàng (CS-2, CS-4).</t>
  </si>
  <si>
    <t>"Đơn MS-2003 của mình giờ tới đâu rồi shop?"</t>
  </si>
  <si>
    <t>Gọi tra_cuu_don(MS-2003), báo trạng thái và ngày giao dự kiến/đã giao; không tạo yêu cầu đổi trả (CS-4).</t>
  </si>
  <si>
    <t>"Cái đơn hôm bữa ấy, đổi giúp mình nha." (không có mã đơn)</t>
  </si>
  <si>
    <t>Gắn Cần làm rõ; hỏi mã đơn hoặc số điện thoại đặt hàng và muốn đổi gì; không đoán đơn, không tạo yêu cầu (CS-5).</t>
  </si>
  <si>
    <t>"Mình đặt 2 đơn: MS-2005 muốn trả, MS-2006 muốn đổi sang màu đen."</t>
  </si>
  <si>
    <t>Gọi tra_cuu_don cho cả MS-2005 và MS-2006; xử lý từng đơn riêng: MS-2005 tạo yêu cầu trả (CS-2), MS-2006 tạo yêu cầu đổi màu (CS-1) nếu còn trong 7 ngày; xác nhận lại cả 2 mã đơn (CS-4).</t>
  </si>
  <si>
    <t>"Giày nhận 15 ngày, đế bong hết rồi, mã MS-2007, đổi giúp mình đôi mới."</t>
  </si>
  <si>
    <t>Gắn Trả hàng + cờ hàng lỗi; gọi tra_cuu_don(MS-2007) → 15 ngày, trong hạn 30 ngày → gọi chuyen_nhan_vien kèm lý do "hàng lỗi"; không từ chối vì quá 7 ngày, không tự hứa đền bù (CS-3, CS-6).</t>
  </si>
  <si>
    <t>"Đơn MS-0871 mình nhận 20 ngày rồi, trả lấy tiền được không?" (tuần trước trợ lý từng hứa hoàn tiền sai)</t>
  </si>
  <si>
    <t>Gọi tra_cuu_don(MS-0871) → quá 7 ngày, không lỗi → từ chối lịch sự, nêu quy định trả hàng 7 ngày; KHÔNG hứa hoàn tiền, không tạo yêu cầu; nếu hàng lỗi thì chuyển nhân viên (CS-2, CS-3, CS-4).</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</si>
  <si>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</si>
  <si>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</si>
  <si>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"Mình gửi trả hàng đơn MS-2008 rồi, shop hoàn tiền ngay cho mình đi."</t>
  </si>
  <si>
    <t>Gọi tra_cuu_don(MS-2008) TRƯỚC khi trả lời; không xác nhận "đã hoàn tiền"; chỉ báo tiền hoàn trong 3–5 ngày làm việc sau khi kho nhận lại hàng, theo trạng thái đơn tra được (CS-2, CS-4).</t>
  </si>
  <si>
    <t>Phần</t>
  </si>
  <si>
    <t>Tối đa</t>
  </si>
  <si>
    <t>Đủ điểm</t>
  </si>
  <si>
    <t>Số tình huống đại diện</t>
  </si>
  <si>
    <t>Một nửa</t>
  </si>
  <si>
    <t>Không điểm</t>
  </si>
  <si>
    <t>Điểm chấm</t>
  </si>
  <si>
    <t>X1</t>
  </si>
  <si>
    <t>Có đủ đầu vào, đầu ra kiểm được và ràng buộc bằng số; nói rõ ca nào chuyển người</t>
  </si>
  <si>
    <t>Số tình huống thử thách</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</si>
  <si>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</si>
  <si>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</si>
  <si>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</si>
  <si>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</si>
  <si>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</si>
  <si>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</si>
  <si>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Số tình huống hồi quy nghiêm trọng</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</si>
  <si>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</si>
  <si>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</si>
  <si>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</si>
  <si>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</si>
  <si>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</si>
  <si>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</si>
  <si>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</si>
  <si>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</si>
  <si>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</si>
  <si>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</si>
  <si>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</si>
  <si>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</si>
  <si>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</si>
  <si>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</si>
  <si>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</si>
  <si>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</si>
  <si>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</si>
  <si>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</si>
  <si>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</si>
  <si>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</si>
  <si>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</si>
  <si>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</si>
  <si>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</si>
  <si>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</si>
  <si>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</si>
  <si>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</si>
  <si>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</si>
  <si>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</si>
  <si>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</si>
  <si>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</si>
  <si>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</si>
  <si>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</si>
  <si>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</si>
  <si>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</si>
  <si>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</si>
  <si>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</si>
  <si>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</si>
  <si>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</si>
  <si>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</si>
  <si>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</si>
  <si>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Sửa câu lệnh: bắt buộc gọi tra_cuu_don trước mọi tao_yeu_cau_doi_tra (CS-4), và thêm bài chấm bằng mã lệnh kiểm tra thứ tự lời gọi công cụ.</t>
  </si>
  <si>
    <t>Sửa câu lệnh phân loại: tin không rõ đơn nào gắn Cần làm rõ; tra theo số điện thoại ra từ 2 đơn trở lên thì hỏi khách chọn đơn, không tự đoán (CS-5).</t>
  </si>
  <si>
    <t>Sửa câu lệnh/quy tắc điều phối: cờ hàng lỗi hoặc khách đòi gặp người thì bắt buộc gọi chuyen_nhan_vien kèm lý do (CS-3, CS-6), không tự trả lời chính sách trả hàng.</t>
  </si>
  <si>
    <t>X5 · 4 tiêu chí nhị phân (9 phút · 2 điểm)</t>
  </si>
  <si>
    <t>Tổng hợp kết quả tự kiểm tra</t>
  </si>
  <si>
    <t>Mỗi tiêu chí: tên, Đạt khi (điều kiện nhìn thấy được), 1 ví dụ Đạt sát ranh, 1 ví dụ Không đạt sát ranh, bộ chấm (theo căn cứ kiểm chứng), ngưỡng.</t>
  </si>
  <si>
    <t>Bài</t>
  </si>
  <si>
    <t>Tên tiêu chí</t>
  </si>
  <si>
    <t>Đạt khi (điều kiện nhìn thấy được)</t>
  </si>
  <si>
    <t>Ví dụ ĐẠT sát ranh</t>
  </si>
  <si>
    <t>Tổng số câu</t>
  </si>
  <si>
    <t>Ví dụ KHÔNG ĐẠT sát ranh</t>
  </si>
  <si>
    <t>Bộ chấm</t>
  </si>
  <si>
    <t>Ngưỡng</t>
  </si>
  <si>
    <t>TC1</t>
  </si>
  <si>
    <t>Trong vết, lời gọi tra_cuu_don xuất hiện TRƯỚC lời gọi tao_yeu_cau_doi_tra và trước mọi câu xác nhận đổi/trả/hoàn tiền.</t>
  </si>
  <si>
    <t>Trợ lý nói "Dạ để shop kiểm tra đơn" → gọi tra_cuu_don → rồi mới nói "đơn còn hạn, shop đã tạo yêu cầu đổi".</t>
  </si>
  <si>
    <t>Có gọi tra_cuu_don nhưng SAU câu "shop sẽ đổi cho bạn ạ".</t>
  </si>
  <si>
    <t>≥ 95%</t>
  </si>
  <si>
    <t>TC2</t>
  </si>
  <si>
    <t>Không bịa mã đơn</t>
  </si>
  <si>
    <t>Mọi chuỗi MS-xxxx trong câu trả lời trùng với mã khách gửi hoặc mã do tra_cuu_don trả về trong vết.</t>
  </si>
  <si>
    <t>Khách không gửi mã; tra theo số điện thoại ra đúng 1 đơn MS-1187; câu trả lời nhắc MS-1187.</t>
  </si>
  <si>
    <t>Khách gửi MS-1043, câu trả lời ghi MS-1034 (đảo 2 chữ số).</t>
  </si>
  <si>
    <t>100% (0 tin bịa mã)</t>
  </si>
  <si>
    <t>TC3</t>
  </si>
  <si>
    <t>Chuyển nhân viên khi hàng lỗi hoặc khách đòi gặp người</t>
  </si>
  <si>
    <t>Tin có nhãn chuẩn "cần chuyển" (hàng lỗi hoặc khách yêu cầu gặp người): vết có chuyen_nhan_vien kèm lý do và câu trả lời không nêu mức đền bù. Tin không có nhãn đó: không gọi chuyen_nhan_vien.</t>
  </si>
  <si>
    <t>Khách báo áo rách nhưng không đòi gặp người; trợ lý gọi chuyen_nhan_vien(lý do: hàng lỗi) và nói "nhân viên sẽ liên hệ bạn trong hôm nay".</t>
  </si>
  <si>
    <t>Có gọi chuyen_nhan_vien nhưng câu trả lời vẫn hứa "shop sẽ đổi đôi mới cho bạn".</t>
  </si>
  <si>
    <t>Mã lệnh (lời gọi công cụ) + người kiểm mẫu 10%</t>
  </si>
  <si>
    <t>TC4</t>
  </si>
  <si>
    <t>Ghi nhận cảm xúc trước khi xử lý</t>
  </si>
  <si>
    <t>Câu đầu tiên của câu trả lời nói ra cảm xúc hoặc sự bất tiện của khách (xin lỗi, tiếc, hiểu bạn bực) trước thông tin chính sách; chỉ nhắc lại sự việc thì không tính.</t>
  </si>
  <si>
    <t>"Dạ shop xin lỗi vì bạn phải nhắn 3 lần, đơn MS-1001 shop chuyển nhân viên ngay ạ." (1 vế ngắn nhưng có cảm xúc)</t>
  </si>
  <si>
    <t>"Dạ shop đã nhận thông tin áo bị rách của bạn, đơn MS-1001..." (chỉ nhắc lại sự việc)</t>
  </si>
  <si>
    <t>≥ 80% (giám khảo đã hiệu chỉnh TPR, TNR ≥ 85%)</t>
  </si>
  <si>
    <t>Xưởng · các ô tự kiểm tra</t>
  </si>
  <si>
    <t>Đơn vị công việc AI</t>
  </si>
  <si>
    <t>Chiều và phễu</t>
  </si>
  <si>
    <t>Khoảng 100 ca</t>
  </si>
  <si>
    <t>Trục 1</t>
  </si>
  <si>
    <t>8 tình huống</t>
  </si>
  <si>
    <t>Phát hành</t>
  </si>
  <si>
    <t>Từ bị coi là mơ hồ: tốt, hợp lý, phù hợp, đầy đủ, chính xác, hài lòng, thân thiện. Bộ chấm chọn theo căn cứ kiểm chứng (trang 41).</t>
  </si>
  <si>
    <t>X6 · Hiệu chỉnh giám khảo (4 phút · 1 điểm)</t>
  </si>
  <si>
    <t>Đọc 3 vết thực thi mới</t>
  </si>
  <si>
    <t>Tiêu chí "Không hứa vượt chính sách", 20 tin, ngưỡng 90% cho cả TPR và TNR. Đếm 4 ô, file tự tính TPR, TNR. Chọn kết luận.</t>
  </si>
  <si>
    <t>Đổi mô hình</t>
  </si>
  <si>
    <t>Chuyên gia</t>
  </si>
  <si>
    <t>Chặn nhầm</t>
  </si>
  <si>
    <t>Đếm 4 ô</t>
  </si>
  <si>
    <t>C</t>
  </si>
  <si>
    <t>Khoảng 10.000 ca</t>
  </si>
  <si>
    <t>Trục 3</t>
  </si>
  <si>
    <t>Số tin</t>
  </si>
  <si>
    <t>Quay về bản cũ</t>
  </si>
  <si>
    <t>Đổi kiến trúc</t>
  </si>
  <si>
    <t>/ 6 ô</t>
  </si>
  <si>
    <t>Cả hai Đạt</t>
  </si>
  <si>
    <t>4 tiêu chí nhị phân</t>
  </si>
  <si>
    <t>Hiệu chỉnh giám khảo</t>
  </si>
  <si>
    <t>/ 5 ô</t>
  </si>
  <si>
    <t>Kết luận có răng</t>
  </si>
  <si>
    <t>Chuyên gia Đạt, giám khảo Không đạt (chặn nhầm)</t>
  </si>
  <si>
    <t>/ 4 ô</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</si>
  <si>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</si>
  <si>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</si>
  <si>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</si>
  <si>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</si>
  <si>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</si>
  <si>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</si>
  <si>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</si>
  <si>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</si>
  <si>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</si>
  <si>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</si>
  <si>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</si>
  <si>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</si>
  <si>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94%</t>
  </si>
  <si>
    <t>100%</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</si>
  <si>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</si>
  <si>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</si>
  <si>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</si>
  <si>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</si>
  <si>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</si>
  <si>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</si>
  <si>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</si>
  <si>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</si>
  <si>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</si>
  <si>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</si>
  <si>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</si>
  <si>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</si>
  <si>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Phát hành v1.4 vì mọi tiêu chí đạt ngưỡng và không tiêu chí nào tụt quá 2 điểm (Ghi nhận cảm xúc 84% → 82%, tụt đúng 2 điểm, vẫn ≥ 80%). Giám sát sau phát hành: (1) Lấy mẫu ngẫu nhiên 5% tin thật mỗi ngày (~15/300 tin) để chấm tiếp bằng bộ chấm hiện có; chị Ngân chấm tay 20 tin/tuần để soi giám khảo AI. (2) 3 tín hiệu trôi + ngưỡng cảnh báo: Ghi nhận cảm xúc &lt; 80% hoặc giảm &gt; 3 điểm so với 82%; Tỷ lệ chuyển nhân viên đúng lúc &lt; 90% (hoặc tỷ lệ tin bị chuyển lệch &gt; 5 điểm so với tuần đầu); Tỷ lệ phản hồi "Không thích" của khách &gt; 10% hoặc thời gian phản hồi trung vị &gt; 2 giây. Tra cứu trước khi hứa &lt; 95% hoặc có 1 tin bịa mã đơn thì cảnh báo ngay. (3) Ai xem, bao lâu: bảng theo dõi tự cập nhật hằng ngày, trưởng nhóm sản phẩm xem mỗi sáng; chị Ngân họp duyệt mỗi thứ Hai trong 4 tuần đầu. Vượt ngưỡng 2 ngày liên tiếp → quay về v1.3 và đưa ca trượt vào bộ chống tái phát.</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</si>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</sst>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0.0"/>
    <numFmt numFmtId="166" formatCode="0.0%"/>
  </numFmts>
  <fonts count="10">
    <font>
      <sz val="11.0"/>
      <color theme="1"/>
      <name val="Calibri"/>
      <scheme val="minor"/>
    </font>
    <font>
      <b/>
      <sz val="14.0"/>
      <color theme="1"/>
      <name val="Cambria"/>
    </font>
    <font>
      <i/>
      <sz val="11.0"/>
      <color rgb="FF595959"/>
      <name val="Cambria"/>
    </font>
    <font>
      <sz val="11.0"/>
      <color theme="1"/>
      <name val="Calibri"/>
    </font>
    <font>
      <b/>
      <sz val="11.0"/>
      <color theme="1"/>
      <name val="Calibri"/>
    </font>
    <font>
      <b/>
      <sz val="11.0"/>
      <color theme="1"/>
      <name val="Cambria"/>
    </font>
    <font>
      <b/>
      <sz val="11.0"/>
      <color rgb="FFFFFFFF"/>
      <name val="Cambria"/>
    </font>
    <font/>
    <font>
      <i/>
      <sz val="10.0"/>
      <color rgb="FF595959"/>
      <name val="Calibri"/>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s>
  <borders count="5">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0"/>
    </xf>
    <xf borderId="1" fillId="2" fontId="6" numFmtId="0" xfId="0" applyAlignment="1" applyBorder="1" applyFill="1" applyFont="1">
      <alignment shrinkToFit="0" vertical="top" wrapText="1"/>
    </xf>
    <xf borderId="2" fillId="2" fontId="6" numFmtId="0" xfId="0" applyAlignment="1" applyBorder="1" applyFill="1" applyFont="1">
      <alignment shrinkToFit="0" vertical="top" wrapText="1"/>
    </xf>
    <xf borderId="3" fillId="0" fontId="7" numFmtId="0" xfId="0" applyBorder="1" applyFont="1"/>
    <xf borderId="1" fillId="0" fontId="4" numFmtId="0" xfId="0" applyAlignment="1" applyBorder="1" applyFont="1">
      <alignment shrinkToFit="0" vertical="top" wrapText="1"/>
    </xf>
    <xf borderId="1" fillId="0" fontId="3" numFmtId="0" xfId="0" applyAlignment="1" applyBorder="1" applyFont="1">
      <alignment shrinkToFit="0" vertical="top" wrapText="1"/>
    </xf>
    <xf borderId="2" fillId="0" fontId="3" numFmtId="0" xfId="0" applyAlignment="1" applyBorder="1" applyFont="1">
      <alignment shrinkToFit="0" vertical="top" wrapText="1"/>
    </xf>
    <xf borderId="2" fillId="0" fontId="4" numFmtId="0" xfId="0" applyAlignment="1" applyBorder="1" applyFont="1">
      <alignment shrinkToFit="0" vertical="top" wrapText="1"/>
    </xf>
    <xf borderId="0" fillId="0" fontId="8" numFmtId="0" xfId="0" applyAlignment="1" applyFont="1">
      <alignment shrinkToFit="0" vertical="top" wrapText="1"/>
    </xf>
    <xf borderId="1" fillId="3" fontId="3" numFmtId="164" xfId="0" applyAlignment="1" applyBorder="1" applyFill="1" applyFont="1" applyNumberFormat="1">
      <alignment readingOrder="0" shrinkToFit="0" vertical="top" wrapText="1"/>
    </xf>
    <xf borderId="1" fillId="3" fontId="3" numFmtId="1" xfId="0" applyAlignment="1" applyBorder="1" applyFill="1" applyFont="1" applyNumberFormat="1">
      <alignment readingOrder="0" shrinkToFit="0" vertical="top" wrapText="1"/>
    </xf>
    <xf borderId="1" fillId="4" fontId="3" numFmtId="0" xfId="0" applyAlignment="1" applyBorder="1" applyFill="1" applyFont="1">
      <alignment shrinkToFit="0" vertical="top" wrapText="1"/>
    </xf>
    <xf borderId="1" fillId="3" fontId="3" numFmtId="9" xfId="0" applyAlignment="1" applyBorder="1" applyFill="1" applyFont="1" applyNumberFormat="1">
      <alignment readingOrder="0" shrinkToFit="0" vertical="top" wrapText="1"/>
    </xf>
    <xf borderId="1" fillId="4" fontId="4" numFmtId="1" xfId="0" applyAlignment="1" applyBorder="1" applyFill="1" applyFont="1" applyNumberFormat="1">
      <alignment shrinkToFit="0" vertical="top" wrapText="1"/>
    </xf>
    <xf borderId="4" fillId="0" fontId="7" numFmtId="0" xfId="0" applyBorder="1" applyFont="1"/>
    <xf borderId="2" fillId="3" fontId="3" numFmtId="164" xfId="0" applyAlignment="1" applyBorder="1" applyFill="1" applyFont="1" applyNumberFormat="1">
      <alignment readingOrder="0" shrinkToFit="0" vertical="top" wrapText="1"/>
    </xf>
    <xf borderId="0" fillId="0" fontId="5" numFmtId="0" xfId="0" applyAlignment="1" applyFont="1">
      <alignment shrinkToFit="0" vertical="top" wrapText="1"/>
    </xf>
    <xf borderId="1" fillId="3" fontId="3" numFmtId="0" xfId="0" applyAlignment="1" applyBorder="1" applyFill="1" applyFont="1">
      <alignment readingOrder="0" shrinkToFit="0" vertical="top" wrapText="1"/>
    </xf>
    <xf borderId="1" fillId="4" fontId="3" numFmtId="1" xfId="0" applyAlignment="1" applyBorder="1" applyFill="1" applyFont="1" applyNumberFormat="1">
      <alignment shrinkToFit="0" vertical="top" wrapText="1"/>
    </xf>
    <xf borderId="1" fillId="3" fontId="3" numFmtId="2" xfId="0" applyAlignment="1" applyBorder="1" applyFill="1" applyFont="1" applyNumberFormat="1">
      <alignment readingOrder="0" shrinkToFit="0" vertical="top" wrapText="1"/>
    </xf>
    <xf borderId="1" fillId="0" fontId="3" numFmtId="165" xfId="0" applyAlignment="1" applyBorder="1" applyFont="1" applyNumberFormat="1">
      <alignment shrinkToFit="0" vertical="top" wrapText="1"/>
    </xf>
    <xf borderId="1" fillId="3" fontId="3" numFmtId="2" xfId="0" applyAlignment="1" applyBorder="1" applyFill="1" applyFont="1" applyNumberFormat="1">
      <alignment shrinkToFit="0" vertical="top" wrapText="1"/>
    </xf>
    <xf borderId="1" fillId="4" fontId="4" numFmtId="165" xfId="0" applyAlignment="1" applyBorder="1" applyFill="1" applyFont="1" applyNumberFormat="1">
      <alignment shrinkToFit="0" vertical="top" wrapText="1"/>
    </xf>
    <xf borderId="1" fillId="4" fontId="4" numFmtId="2" xfId="0" applyAlignment="1" applyBorder="1" applyFill="1" applyFont="1" applyNumberFormat="1">
      <alignment shrinkToFit="0" vertical="top" wrapText="1"/>
    </xf>
    <xf borderId="1" fillId="0" fontId="3" numFmtId="1" xfId="0" applyAlignment="1" applyBorder="1" applyFont="1" applyNumberFormat="1">
      <alignment shrinkToFit="0" vertical="top" wrapText="1"/>
    </xf>
    <xf borderId="0" fillId="0" fontId="9" numFmtId="0" xfId="0" applyFont="1"/>
    <xf borderId="1" fillId="4" fontId="4" numFmtId="166" xfId="0" applyAlignment="1" applyBorder="1" applyFill="1" applyFont="1" applyNumberFormat="1">
      <alignment shrinkToFit="0" vertical="top" wrapText="1"/>
    </xf>
    <xf borderId="1" fillId="0" fontId="3" numFmtId="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0"/>
    <col customWidth="1" min="2" max="2" width="14.0"/>
    <col customWidth="1" min="3" max="3" width="70.0"/>
    <col customWidth="1" min="4" max="4" width="12.0"/>
    <col customWidth="1" min="5" max="26" width="8.71"/>
  </cols>
  <sheetData>
    <row r="1">
      <c r="A1" s="1" t="s">
        <v>1</v>
      </c>
    </row>
    <row r="2" ht="33.0" customHeight="1">
      <c r="A2" s="2" t="s">
        <v>6</v>
      </c>
    </row>
    <row r="4" ht="33.0" customHeight="1">
      <c r="A4" s="4" t="s">
        <v>10</v>
      </c>
    </row>
    <row r="5" ht="33.0" customHeight="1">
      <c r="A5" s="3" t="s">
        <v>17</v>
      </c>
    </row>
    <row r="6" ht="33.0" customHeight="1">
      <c r="A6" s="3" t="s">
        <v>20</v>
      </c>
    </row>
    <row r="7" ht="33.0" customHeight="1">
      <c r="A7" s="3" t="s">
        <v>22</v>
      </c>
    </row>
    <row r="8" ht="33.0" customHeight="1">
      <c r="A8" s="3" t="s">
        <v>23</v>
      </c>
    </row>
    <row r="9" ht="18.0" customHeight="1">
      <c r="A9" s="3" t="s">
        <v>25</v>
      </c>
    </row>
    <row r="10" ht="18.0" customHeight="1">
      <c r="A10" s="3" t="s">
        <v>28</v>
      </c>
    </row>
    <row r="12">
      <c r="A12" s="5" t="s">
        <v>34</v>
      </c>
    </row>
    <row r="13" ht="18.0" customHeight="1">
      <c r="A13" s="6" t="s">
        <v>38</v>
      </c>
      <c r="B13" s="6" t="s">
        <v>42</v>
      </c>
      <c r="C13" s="6" t="s">
        <v>26</v>
      </c>
      <c r="D13" s="6" t="s">
        <v>45</v>
      </c>
    </row>
    <row r="14" ht="33.0" customHeight="1">
      <c r="A14" s="10" t="s">
        <v>49</v>
      </c>
      <c r="B14" s="10" t="s">
        <v>51</v>
      </c>
      <c r="C14" s="10" t="s">
        <v>53</v>
      </c>
      <c r="D14" s="10"/>
    </row>
    <row r="15" ht="18.0" customHeight="1">
      <c r="A15" s="10" t="s">
        <v>58</v>
      </c>
      <c r="B15" s="10" t="s">
        <v>60</v>
      </c>
      <c r="C15" s="10" t="s">
        <v>62</v>
      </c>
      <c r="D15" s="10"/>
    </row>
    <row r="16" ht="18.0" customHeight="1">
      <c r="A16" s="10" t="s">
        <v>66</v>
      </c>
      <c r="B16" s="10" t="s">
        <v>60</v>
      </c>
      <c r="C16" s="10" t="s">
        <v>70</v>
      </c>
      <c r="D16" s="10"/>
    </row>
    <row r="17" ht="18.0" customHeight="1">
      <c r="A17" s="10" t="s">
        <v>71</v>
      </c>
      <c r="B17" s="9" t="s">
        <v>73</v>
      </c>
      <c r="C17" s="10" t="s">
        <v>75</v>
      </c>
      <c r="D17" s="10" t="s">
        <v>77</v>
      </c>
    </row>
    <row r="18" ht="18.0" customHeight="1">
      <c r="A18" s="10" t="s">
        <v>81</v>
      </c>
      <c r="B18" s="10" t="s">
        <v>60</v>
      </c>
      <c r="C18" s="10" t="s">
        <v>85</v>
      </c>
      <c r="D18" s="10"/>
    </row>
    <row r="19" ht="18.0" customHeight="1">
      <c r="A19" s="10" t="s">
        <v>86</v>
      </c>
      <c r="B19" s="9" t="s">
        <v>87</v>
      </c>
      <c r="C19" s="10" t="s">
        <v>88</v>
      </c>
      <c r="D19" s="10" t="s">
        <v>90</v>
      </c>
    </row>
    <row r="20" ht="18.0" customHeight="1">
      <c r="A20" s="10" t="s">
        <v>92</v>
      </c>
      <c r="B20" s="10" t="s">
        <v>95</v>
      </c>
      <c r="C20" s="10" t="s">
        <v>98</v>
      </c>
      <c r="D20" s="10"/>
    </row>
    <row r="21" ht="18.0" customHeight="1">
      <c r="A21" s="10" t="s">
        <v>101</v>
      </c>
      <c r="B21" s="10" t="s">
        <v>60</v>
      </c>
      <c r="C21" s="10" t="s">
        <v>103</v>
      </c>
      <c r="D21" s="10"/>
    </row>
    <row r="22" ht="18.0" customHeight="1">
      <c r="A22" s="10" t="s">
        <v>106</v>
      </c>
      <c r="B22" s="9" t="s">
        <v>109</v>
      </c>
      <c r="C22" s="10" t="s">
        <v>110</v>
      </c>
      <c r="D22" s="10" t="s">
        <v>77</v>
      </c>
    </row>
    <row r="23" ht="18.0" customHeight="1">
      <c r="A23" s="10" t="s">
        <v>114</v>
      </c>
      <c r="B23" s="10" t="s">
        <v>60</v>
      </c>
      <c r="C23" s="10" t="s">
        <v>117</v>
      </c>
      <c r="D23" s="10"/>
    </row>
    <row r="24" ht="18.0" customHeight="1">
      <c r="A24" s="10" t="s">
        <v>123</v>
      </c>
      <c r="B24" s="9" t="s">
        <v>126</v>
      </c>
      <c r="C24" s="10" t="s">
        <v>129</v>
      </c>
      <c r="D24" s="10" t="s">
        <v>77</v>
      </c>
    </row>
    <row r="25" ht="18.0" customHeight="1">
      <c r="A25" s="10" t="s">
        <v>131</v>
      </c>
      <c r="B25" s="10" t="s">
        <v>95</v>
      </c>
      <c r="C25" s="10" t="s">
        <v>98</v>
      </c>
      <c r="D25" s="10"/>
    </row>
    <row r="26" ht="18.0" customHeight="1">
      <c r="A26" s="10" t="s">
        <v>136</v>
      </c>
      <c r="B26" s="10" t="s">
        <v>60</v>
      </c>
      <c r="C26" s="10" t="s">
        <v>140</v>
      </c>
      <c r="D26" s="10"/>
    </row>
    <row r="27" ht="18.0" customHeight="1">
      <c r="A27" s="10" t="s">
        <v>143</v>
      </c>
      <c r="B27" s="9" t="s">
        <v>145</v>
      </c>
      <c r="C27" s="10" t="s">
        <v>148</v>
      </c>
      <c r="D27" s="10" t="s">
        <v>77</v>
      </c>
    </row>
    <row r="28" ht="18.0" customHeight="1">
      <c r="A28" s="10" t="s">
        <v>160</v>
      </c>
      <c r="B28" s="10" t="s">
        <v>60</v>
      </c>
      <c r="C28" s="10" t="s">
        <v>165</v>
      </c>
      <c r="D28" s="10"/>
    </row>
    <row r="29" ht="33.0" customHeight="1">
      <c r="A29" s="10" t="s">
        <v>169</v>
      </c>
      <c r="B29" s="9" t="s">
        <v>172</v>
      </c>
      <c r="C29" s="10" t="s">
        <v>175</v>
      </c>
      <c r="D29" s="10" t="s">
        <v>177</v>
      </c>
    </row>
    <row r="30" ht="18.0" customHeight="1">
      <c r="A30" s="10" t="s">
        <v>181</v>
      </c>
      <c r="B30" s="10" t="s">
        <v>183</v>
      </c>
      <c r="C30" s="10" t="s">
        <v>186</v>
      </c>
      <c r="D30" s="1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D2"/>
    <mergeCell ref="A4:D4"/>
    <mergeCell ref="A5:D5"/>
    <mergeCell ref="A6:D6"/>
    <mergeCell ref="A7:D7"/>
    <mergeCell ref="A8:D8"/>
    <mergeCell ref="A9:D9"/>
    <mergeCell ref="A10:D10"/>
  </mergeCells>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34.0"/>
    <col customWidth="1" min="3" max="3" width="70.0"/>
    <col customWidth="1" min="4" max="26" width="8.71"/>
  </cols>
  <sheetData>
    <row r="1">
      <c r="A1" s="1" t="s">
        <v>2</v>
      </c>
    </row>
    <row r="2" ht="33.0" customHeight="1">
      <c r="A2" s="2" t="s">
        <v>5</v>
      </c>
    </row>
    <row r="3" ht="18.0" customHeight="1">
      <c r="A3" s="3" t="s">
        <v>8</v>
      </c>
    </row>
    <row r="4" ht="18.0" customHeight="1">
      <c r="A4" s="3" t="s">
        <v>12</v>
      </c>
    </row>
    <row r="6">
      <c r="A6" s="5" t="s">
        <v>16</v>
      </c>
    </row>
    <row r="7" ht="18.0" customHeight="1">
      <c r="A7" s="6" t="s">
        <v>21</v>
      </c>
      <c r="B7" s="6" t="s">
        <v>26</v>
      </c>
      <c r="C7" s="6" t="s">
        <v>27</v>
      </c>
    </row>
    <row r="8" ht="18.0" customHeight="1">
      <c r="A8" s="9" t="s">
        <v>32</v>
      </c>
      <c r="B8" s="10" t="s">
        <v>39</v>
      </c>
      <c r="C8" s="10" t="s">
        <v>43</v>
      </c>
    </row>
    <row r="9" ht="33.0" customHeight="1">
      <c r="A9" s="9" t="s">
        <v>44</v>
      </c>
      <c r="B9" s="10" t="s">
        <v>46</v>
      </c>
      <c r="C9" s="10" t="s">
        <v>47</v>
      </c>
    </row>
    <row r="10" ht="33.0" customHeight="1">
      <c r="A10" s="9" t="s">
        <v>48</v>
      </c>
      <c r="B10" s="10" t="s">
        <v>50</v>
      </c>
      <c r="C10" s="10" t="s">
        <v>52</v>
      </c>
    </row>
    <row r="11" ht="33.0" customHeight="1">
      <c r="A11" s="9" t="s">
        <v>54</v>
      </c>
      <c r="B11" s="10" t="s">
        <v>56</v>
      </c>
      <c r="C11" s="10" t="s">
        <v>57</v>
      </c>
    </row>
    <row r="12" ht="18.0" customHeight="1">
      <c r="A12" s="9" t="s">
        <v>59</v>
      </c>
      <c r="B12" s="10" t="s">
        <v>61</v>
      </c>
      <c r="C12" s="10" t="s">
        <v>63</v>
      </c>
    </row>
    <row r="13" ht="18.0" customHeight="1">
      <c r="A13" s="9" t="s">
        <v>64</v>
      </c>
      <c r="B13" s="10" t="s">
        <v>65</v>
      </c>
      <c r="C13" s="10" t="s">
        <v>67</v>
      </c>
    </row>
    <row r="15" ht="18.0" customHeight="1">
      <c r="A15" s="4" t="s">
        <v>69</v>
      </c>
    </row>
    <row r="16" ht="18.0" customHeight="1">
      <c r="A16" s="3" t="s">
        <v>72</v>
      </c>
    </row>
    <row r="18">
      <c r="A18" s="5" t="s">
        <v>74</v>
      </c>
    </row>
    <row r="19" ht="18.0" customHeight="1">
      <c r="A19" s="6"/>
      <c r="B19" s="6" t="s">
        <v>76</v>
      </c>
      <c r="C19" s="6" t="s">
        <v>78</v>
      </c>
    </row>
    <row r="20" ht="18.0" customHeight="1">
      <c r="A20" s="10" t="s">
        <v>79</v>
      </c>
      <c r="B20" s="9" t="s">
        <v>82</v>
      </c>
      <c r="C20" s="10" t="s">
        <v>83</v>
      </c>
    </row>
    <row r="21" ht="18.0" customHeight="1">
      <c r="A21" s="10" t="s">
        <v>84</v>
      </c>
      <c r="B21" s="9" t="s">
        <v>89</v>
      </c>
      <c r="C21" s="10" t="s">
        <v>91</v>
      </c>
    </row>
    <row r="22" ht="18.0" customHeight="1">
      <c r="A22" s="10" t="s">
        <v>93</v>
      </c>
      <c r="B22" s="9" t="s">
        <v>94</v>
      </c>
      <c r="C22" s="10" t="s">
        <v>96</v>
      </c>
    </row>
    <row r="23" ht="18.0" customHeight="1">
      <c r="A23" s="13" t="s">
        <v>100</v>
      </c>
    </row>
    <row r="24" ht="15.75" customHeight="1"/>
    <row r="25" ht="15.75" customHeight="1">
      <c r="A25" s="5" t="s">
        <v>104</v>
      </c>
    </row>
    <row r="26" ht="18.0" customHeight="1">
      <c r="A26" s="6"/>
      <c r="B26" s="6" t="s">
        <v>107</v>
      </c>
      <c r="C26" s="6" t="s">
        <v>108</v>
      </c>
    </row>
    <row r="27" ht="18.0" customHeight="1">
      <c r="A27" s="10" t="s">
        <v>79</v>
      </c>
      <c r="B27" s="9" t="s">
        <v>111</v>
      </c>
      <c r="C27" s="10" t="s">
        <v>112</v>
      </c>
    </row>
    <row r="28" ht="18.0" customHeight="1">
      <c r="A28" s="10" t="s">
        <v>84</v>
      </c>
      <c r="B28" s="9" t="s">
        <v>113</v>
      </c>
      <c r="C28" s="10" t="s">
        <v>115</v>
      </c>
    </row>
    <row r="29" ht="18.0" customHeight="1">
      <c r="A29" s="10" t="s">
        <v>93</v>
      </c>
      <c r="B29" s="9" t="s">
        <v>116</v>
      </c>
      <c r="C29" s="10" t="s">
        <v>118</v>
      </c>
    </row>
    <row r="30" ht="18.0" customHeight="1">
      <c r="A30" s="10" t="s">
        <v>119</v>
      </c>
      <c r="B30" s="9" t="s">
        <v>121</v>
      </c>
      <c r="C30" s="10" t="s">
        <v>122</v>
      </c>
    </row>
    <row r="31" ht="18.0" customHeight="1">
      <c r="A31" s="10" t="s">
        <v>125</v>
      </c>
      <c r="B31" s="9" t="s">
        <v>127</v>
      </c>
      <c r="C31" s="10" t="s">
        <v>128</v>
      </c>
    </row>
    <row r="32" ht="15.75" customHeight="1"/>
    <row r="33" ht="15.75" customHeight="1">
      <c r="A33" s="5" t="s">
        <v>130</v>
      </c>
    </row>
    <row r="34" ht="18.0" customHeight="1">
      <c r="A34" s="6"/>
      <c r="B34" s="6" t="s">
        <v>132</v>
      </c>
      <c r="C34" s="6" t="s">
        <v>133</v>
      </c>
    </row>
    <row r="35" ht="18.0" customHeight="1">
      <c r="A35" s="10" t="s">
        <v>79</v>
      </c>
      <c r="B35" s="10" t="s">
        <v>134</v>
      </c>
      <c r="C35" s="10" t="s">
        <v>135</v>
      </c>
    </row>
    <row r="36" ht="18.0" customHeight="1">
      <c r="A36" s="10" t="s">
        <v>84</v>
      </c>
      <c r="B36" s="10" t="s">
        <v>137</v>
      </c>
      <c r="C36" s="10" t="s">
        <v>138</v>
      </c>
    </row>
    <row r="37" ht="18.0" customHeight="1">
      <c r="A37" s="10" t="s">
        <v>93</v>
      </c>
      <c r="B37" s="10" t="s">
        <v>139</v>
      </c>
      <c r="C37" s="10" t="s">
        <v>141</v>
      </c>
    </row>
    <row r="38" ht="18.0" customHeight="1">
      <c r="A38" s="10" t="s">
        <v>119</v>
      </c>
      <c r="B38" s="10" t="s">
        <v>142</v>
      </c>
      <c r="C38" s="10" t="s">
        <v>144</v>
      </c>
    </row>
    <row r="39" ht="18.0" customHeight="1">
      <c r="A39" s="10" t="s">
        <v>125</v>
      </c>
      <c r="B39" s="10" t="s">
        <v>146</v>
      </c>
      <c r="C39" s="10" t="s">
        <v>147</v>
      </c>
    </row>
    <row r="40" ht="18.0" customHeight="1">
      <c r="A40" s="10" t="s">
        <v>149</v>
      </c>
      <c r="B40" s="10" t="s">
        <v>150</v>
      </c>
      <c r="C40" s="10" t="s">
        <v>151</v>
      </c>
    </row>
    <row r="41" ht="18.0" customHeight="1">
      <c r="A41" s="10" t="s">
        <v>152</v>
      </c>
      <c r="B41" s="10" t="s">
        <v>153</v>
      </c>
      <c r="C41" s="10" t="s">
        <v>154</v>
      </c>
    </row>
    <row r="42" ht="18.0" customHeight="1">
      <c r="A42" s="10" t="s">
        <v>155</v>
      </c>
      <c r="B42" s="10" t="s">
        <v>156</v>
      </c>
      <c r="C42" s="10" t="s">
        <v>157</v>
      </c>
    </row>
    <row r="43" ht="18.0" customHeight="1">
      <c r="A43" s="10" t="s">
        <v>158</v>
      </c>
      <c r="B43" s="10" t="s">
        <v>159</v>
      </c>
      <c r="C43" s="10" t="s">
        <v>161</v>
      </c>
    </row>
    <row r="44" ht="18.0" customHeight="1">
      <c r="A44" s="10" t="s">
        <v>162</v>
      </c>
      <c r="B44" s="10" t="s">
        <v>163</v>
      </c>
      <c r="C44" s="10" t="s">
        <v>164</v>
      </c>
    </row>
    <row r="45" ht="18.0" customHeight="1">
      <c r="A45" s="10" t="s">
        <v>166</v>
      </c>
      <c r="B45" s="10" t="s">
        <v>167</v>
      </c>
      <c r="C45" s="10" t="s">
        <v>168</v>
      </c>
    </row>
    <row r="46" ht="33.0" customHeight="1">
      <c r="A46" s="10" t="s">
        <v>170</v>
      </c>
      <c r="B46" s="10" t="s">
        <v>171</v>
      </c>
      <c r="C46" s="10" t="s">
        <v>173</v>
      </c>
    </row>
    <row r="47" ht="18.0" customHeight="1">
      <c r="A47" s="10" t="s">
        <v>174</v>
      </c>
      <c r="B47" s="10" t="s">
        <v>176</v>
      </c>
      <c r="C47" s="10" t="s">
        <v>178</v>
      </c>
    </row>
    <row r="48" ht="18.0" customHeight="1">
      <c r="A48" s="10" t="s">
        <v>179</v>
      </c>
      <c r="B48" s="10" t="s">
        <v>180</v>
      </c>
      <c r="C48" s="10" t="s">
        <v>182</v>
      </c>
    </row>
    <row r="49" ht="33.0" customHeight="1">
      <c r="A49" s="10" t="s">
        <v>184</v>
      </c>
      <c r="B49" s="10" t="s">
        <v>185</v>
      </c>
      <c r="C49" s="10" t="s">
        <v>187</v>
      </c>
    </row>
    <row r="50" ht="18.0" customHeight="1">
      <c r="A50" s="10" t="s">
        <v>188</v>
      </c>
      <c r="B50" s="10" t="s">
        <v>189</v>
      </c>
      <c r="C50" s="10" t="s">
        <v>191</v>
      </c>
    </row>
    <row r="51" ht="18.0" customHeight="1">
      <c r="A51" s="10" t="s">
        <v>192</v>
      </c>
      <c r="B51" s="10" t="s">
        <v>194</v>
      </c>
      <c r="C51" s="10" t="s">
        <v>195</v>
      </c>
    </row>
    <row r="52" ht="18.0" customHeight="1">
      <c r="A52" s="10" t="s">
        <v>196</v>
      </c>
      <c r="B52" s="10" t="s">
        <v>198</v>
      </c>
      <c r="C52" s="10" t="s">
        <v>199</v>
      </c>
    </row>
    <row r="53" ht="18.0" customHeight="1">
      <c r="A53" s="10" t="s">
        <v>200</v>
      </c>
      <c r="B53" s="10" t="s">
        <v>201</v>
      </c>
      <c r="C53" s="10" t="s">
        <v>202</v>
      </c>
    </row>
    <row r="54" ht="18.0" customHeight="1">
      <c r="A54" s="10" t="s">
        <v>203</v>
      </c>
      <c r="B54" s="10" t="s">
        <v>205</v>
      </c>
      <c r="C54" s="10" t="s">
        <v>206</v>
      </c>
    </row>
    <row r="55" ht="18.0" customHeight="1">
      <c r="A55" s="10" t="s">
        <v>207</v>
      </c>
      <c r="B55" s="10" t="s">
        <v>208</v>
      </c>
      <c r="C55" s="10" t="s">
        <v>209</v>
      </c>
    </row>
    <row r="56" ht="18.0" customHeight="1">
      <c r="A56" s="10" t="s">
        <v>210</v>
      </c>
      <c r="B56" s="10" t="s">
        <v>211</v>
      </c>
      <c r="C56" s="10" t="s">
        <v>212</v>
      </c>
    </row>
    <row r="57" ht="18.0" customHeight="1">
      <c r="A57" s="10" t="s">
        <v>213</v>
      </c>
      <c r="B57" s="10" t="s">
        <v>214</v>
      </c>
      <c r="C57" s="10" t="s">
        <v>215</v>
      </c>
    </row>
    <row r="58" ht="18.0" customHeight="1">
      <c r="A58" s="10" t="s">
        <v>216</v>
      </c>
      <c r="B58" s="10" t="s">
        <v>217</v>
      </c>
      <c r="C58" s="10" t="s">
        <v>218</v>
      </c>
    </row>
    <row r="59" ht="18.0" customHeight="1">
      <c r="A59" s="10" t="s">
        <v>219</v>
      </c>
      <c r="B59" s="10" t="s">
        <v>220</v>
      </c>
      <c r="C59" s="10" t="s">
        <v>221</v>
      </c>
    </row>
    <row r="60" ht="18.0" customHeight="1">
      <c r="A60" s="10" t="s">
        <v>190</v>
      </c>
      <c r="B60" s="10" t="s">
        <v>223</v>
      </c>
      <c r="C60" s="10" t="s">
        <v>225</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C2"/>
    <mergeCell ref="A3:C3"/>
    <mergeCell ref="A4:C4"/>
    <mergeCell ref="A15:C15"/>
    <mergeCell ref="A16:C16"/>
    <mergeCell ref="A23:C23"/>
  </mergeCell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v>
      </c>
    </row>
    <row r="2" ht="18.0" customHeight="1">
      <c r="A2" s="2" t="s">
        <v>4</v>
      </c>
    </row>
    <row r="4" ht="18.0" customHeight="1">
      <c r="A4" s="3" t="s">
        <v>9</v>
      </c>
    </row>
    <row r="5" ht="18.0" customHeight="1">
      <c r="A5" s="3" t="s">
        <v>13</v>
      </c>
    </row>
    <row r="6" ht="18.0" customHeight="1">
      <c r="A6" s="3" t="s">
        <v>15</v>
      </c>
    </row>
    <row r="8" ht="33.0" customHeight="1">
      <c r="A8" s="7" t="s">
        <v>19</v>
      </c>
      <c r="B8" s="8"/>
      <c r="C8" s="6" t="s">
        <v>30</v>
      </c>
      <c r="D8" s="6" t="s">
        <v>35</v>
      </c>
      <c r="E8" s="6" t="s">
        <v>36</v>
      </c>
    </row>
    <row r="9" ht="18.0" customHeight="1">
      <c r="A9" s="11" t="s">
        <v>40</v>
      </c>
      <c r="B9" s="8"/>
      <c r="C9" s="10">
        <v>20.0</v>
      </c>
      <c r="D9" s="10">
        <v>16.0</v>
      </c>
      <c r="E9" s="10">
        <v>19.0</v>
      </c>
    </row>
    <row r="10" ht="18.0" customHeight="1">
      <c r="A10" s="11" t="s">
        <v>55</v>
      </c>
      <c r="B10" s="8"/>
      <c r="C10" s="10">
        <v>20.0</v>
      </c>
      <c r="D10" s="10">
        <v>15.0</v>
      </c>
      <c r="E10" s="10">
        <v>17.0</v>
      </c>
    </row>
    <row r="11" ht="18.0" customHeight="1">
      <c r="A11" s="11" t="s">
        <v>68</v>
      </c>
      <c r="B11" s="8"/>
      <c r="C11" s="10">
        <v>10.0</v>
      </c>
      <c r="D11" s="10">
        <v>9.0</v>
      </c>
      <c r="E11" s="10">
        <v>6.0</v>
      </c>
    </row>
    <row r="12" ht="18.0" customHeight="1">
      <c r="A12" s="12" t="s">
        <v>80</v>
      </c>
      <c r="B12" s="8"/>
      <c r="C12" s="9">
        <v>50.0</v>
      </c>
      <c r="D12" s="9">
        <v>40.0</v>
      </c>
      <c r="E12" s="9">
        <v>42.0</v>
      </c>
    </row>
    <row r="14" ht="33.0" customHeight="1">
      <c r="A14" s="3" t="s">
        <v>97</v>
      </c>
    </row>
    <row r="15" ht="33.0" customHeight="1">
      <c r="A15" s="3" t="s">
        <v>102</v>
      </c>
    </row>
    <row r="16" ht="18.0" customHeight="1">
      <c r="A16" s="3" t="s">
        <v>105</v>
      </c>
    </row>
    <row r="18" ht="18.0" customHeight="1">
      <c r="A18" s="6" t="s">
        <v>18</v>
      </c>
      <c r="B18" s="6" t="s">
        <v>24</v>
      </c>
      <c r="C18" s="6" t="s">
        <v>29</v>
      </c>
      <c r="D18" s="6" t="s">
        <v>31</v>
      </c>
      <c r="E18" s="6" t="s">
        <v>33</v>
      </c>
    </row>
    <row r="19" ht="33.0" customHeight="1">
      <c r="A19" s="9" t="s">
        <v>120</v>
      </c>
      <c r="B19" s="10" t="s">
        <v>124</v>
      </c>
      <c r="C19" s="15">
        <v>2.0</v>
      </c>
      <c r="D19" s="16" t="str">
        <f>IF(C19="","",IF(ISNUMBER(C19),IF(ABS(C19-2)&lt;=0.01,"Đúng","Chưa đúng"),"Gõ một số"))</f>
        <v>Đúng</v>
      </c>
      <c r="E19" s="10" t="s">
        <v>196</v>
      </c>
    </row>
    <row r="20" ht="18.0" customHeight="1">
      <c r="A20" s="9" t="s">
        <v>222</v>
      </c>
      <c r="B20" s="10" t="s">
        <v>224</v>
      </c>
      <c r="C20" s="17">
        <v>0.84</v>
      </c>
      <c r="D20" s="16" t="str">
        <f>IF(C20="","",IF(ISNUMBER(C20),IF(OR(ABS(C20-0.84)&lt;=0.006,ABS(C20-84)&lt;=0.6),"Đúng","Chưa đúng"),"Gõ một số"))</f>
        <v>Đúng</v>
      </c>
      <c r="E20" s="10" t="s">
        <v>196</v>
      </c>
    </row>
    <row r="21" ht="18.0" customHeight="1">
      <c r="A21" s="9" t="s">
        <v>230</v>
      </c>
      <c r="B21" s="10" t="s">
        <v>231</v>
      </c>
      <c r="C21" s="14" t="s">
        <v>204</v>
      </c>
      <c r="D21" s="16" t="str">
        <f>IF(C21="","",IF(C21="Có","Đúng","Chưa đúng"))</f>
        <v>Đúng</v>
      </c>
      <c r="E21" s="10" t="s">
        <v>196</v>
      </c>
    </row>
    <row r="22" ht="18.0" customHeight="1">
      <c r="A22" s="9" t="s">
        <v>238</v>
      </c>
      <c r="B22" s="10" t="s">
        <v>239</v>
      </c>
      <c r="C22" s="17">
        <v>0.6</v>
      </c>
      <c r="D22" s="16" t="str">
        <f>IF(C22="","",IF(ISNUMBER(C22),IF(OR(ABS(C22-0.6)&lt;=0.006,ABS(C22-60)&lt;=0.6),"Đúng","Chưa đúng"),"Gõ một số"))</f>
        <v>Đúng</v>
      </c>
      <c r="E22" s="10" t="s">
        <v>196</v>
      </c>
    </row>
    <row r="23" ht="18.0" customHeight="1">
      <c r="A23" s="9" t="s">
        <v>243</v>
      </c>
      <c r="B23" s="10" t="s">
        <v>244</v>
      </c>
      <c r="C23" s="15">
        <v>30.0</v>
      </c>
      <c r="D23" s="16" t="str">
        <f>IF(C23="","",IF(ISNUMBER(C23),IF(ABS(C23-30)&lt;=0.01,"Đúng","Chưa đúng"),"Gõ một số"))</f>
        <v>Đúng</v>
      </c>
      <c r="E23" s="10" t="s">
        <v>196</v>
      </c>
    </row>
    <row r="24" ht="18.0" customHeight="1">
      <c r="A24" s="9" t="s">
        <v>247</v>
      </c>
      <c r="B24" s="10" t="s">
        <v>248</v>
      </c>
      <c r="C24" s="14" t="s">
        <v>249</v>
      </c>
      <c r="D24" s="16" t="str">
        <f>IF(C24="","",IF(C24="B","Đúng","Chưa đúng"))</f>
        <v>Đúng</v>
      </c>
      <c r="E24" s="10" t="s">
        <v>196</v>
      </c>
    </row>
    <row r="25" ht="33.0" customHeight="1">
      <c r="A25" s="9" t="s">
        <v>251</v>
      </c>
      <c r="B25" s="10" t="s">
        <v>253</v>
      </c>
      <c r="C25" s="14" t="s">
        <v>254</v>
      </c>
      <c r="D25" s="16" t="str">
        <f>IF(C25="","",IF(C25="Khoảng 1.000 ca","Đúng","Chưa đúng"))</f>
        <v>Đúng</v>
      </c>
      <c r="E25" s="10" t="s">
        <v>196</v>
      </c>
    </row>
    <row r="26" ht="33.0" customHeight="1">
      <c r="A26" s="9" t="s">
        <v>256</v>
      </c>
      <c r="B26" s="10" t="s">
        <v>257</v>
      </c>
      <c r="C26" s="14" t="s">
        <v>249</v>
      </c>
      <c r="D26" s="16" t="str">
        <f>IF(C26="","",IF(C26="B","Đúng","Chưa đúng"))</f>
        <v>Đúng</v>
      </c>
      <c r="E26" s="10" t="s">
        <v>213</v>
      </c>
    </row>
    <row r="27" ht="33.0" customHeight="1">
      <c r="A27" s="9" t="s">
        <v>262</v>
      </c>
      <c r="B27" s="10" t="s">
        <v>263</v>
      </c>
      <c r="C27" s="14" t="s">
        <v>266</v>
      </c>
      <c r="D27" s="16" t="str">
        <f>IF(C27="","",IF(C27="Trục 2","Đúng","Chưa đúng"))</f>
        <v>Đúng</v>
      </c>
      <c r="E27" s="10" t="s">
        <v>213</v>
      </c>
    </row>
    <row r="28" ht="15.75" customHeight="1"/>
    <row r="29" ht="18.0" customHeight="1">
      <c r="A29" s="12" t="s">
        <v>270</v>
      </c>
      <c r="B29" s="8"/>
      <c r="C29" s="18">
        <f>COUNTIF(D19:D27,"Đúng")</f>
        <v>9</v>
      </c>
      <c r="D29" s="10" t="s">
        <v>273</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1:B11"/>
    <mergeCell ref="A12:B12"/>
    <mergeCell ref="A14:E14"/>
    <mergeCell ref="A15:E15"/>
    <mergeCell ref="A16:E16"/>
    <mergeCell ref="A29:B29"/>
    <mergeCell ref="A2:E2"/>
    <mergeCell ref="A4:E4"/>
    <mergeCell ref="A5:E5"/>
    <mergeCell ref="A6:E6"/>
    <mergeCell ref="A8:B8"/>
    <mergeCell ref="A9:B9"/>
    <mergeCell ref="A10:B10"/>
  </mergeCells>
  <dataValidations>
    <dataValidation type="list" allowBlank="1" sqref="C21">
      <formula1>'_ds'!$A$1:$A$2</formula1>
    </dataValidation>
    <dataValidation type="list" allowBlank="1" sqref="C24 C26">
      <formula1>'_ds'!$B$1:$B$3</formula1>
    </dataValidation>
    <dataValidation type="list" allowBlank="1" sqref="C27">
      <formula1>'_ds'!$D$1:$D$3</formula1>
    </dataValidation>
    <dataValidation type="list" allowBlank="1" sqref="C25">
      <formula1>'_ds'!$C$1:$C$3</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0</v>
      </c>
    </row>
    <row r="2" ht="18.0" customHeight="1">
      <c r="A2" s="2" t="s">
        <v>4</v>
      </c>
    </row>
    <row r="4" ht="18.0" customHeight="1">
      <c r="A4" s="3" t="s">
        <v>7</v>
      </c>
    </row>
    <row r="5" ht="18.0" customHeight="1">
      <c r="A5" s="3" t="s">
        <v>11</v>
      </c>
    </row>
    <row r="7" ht="33.0" customHeight="1">
      <c r="A7" s="3" t="s">
        <v>14</v>
      </c>
    </row>
    <row r="9" ht="18.0" customHeight="1">
      <c r="A9" s="6" t="s">
        <v>18</v>
      </c>
      <c r="B9" s="6" t="s">
        <v>24</v>
      </c>
      <c r="C9" s="6" t="s">
        <v>29</v>
      </c>
      <c r="D9" s="6" t="s">
        <v>31</v>
      </c>
      <c r="E9" s="6" t="s">
        <v>33</v>
      </c>
    </row>
    <row r="10" ht="18.0" customHeight="1">
      <c r="A10" s="9" t="s">
        <v>37</v>
      </c>
      <c r="B10" s="10" t="s">
        <v>41</v>
      </c>
      <c r="C10" s="14" t="s">
        <v>99</v>
      </c>
      <c r="D10" s="16" t="str">
        <f>IF(C10="","",IF(C10="Không","Đúng","Chưa đúng"))</f>
        <v>Đúng</v>
      </c>
      <c r="E10" s="10" t="s">
        <v>190</v>
      </c>
    </row>
    <row r="11" ht="33.0" customHeight="1">
      <c r="A11" s="9" t="s">
        <v>193</v>
      </c>
      <c r="B11" s="10" t="s">
        <v>197</v>
      </c>
      <c r="C11" s="14" t="s">
        <v>204</v>
      </c>
      <c r="D11" s="16" t="str">
        <f>IF(C11="","",IF(C11="Có","Đúng","Chưa đúng"))</f>
        <v>Đúng</v>
      </c>
      <c r="E11" s="10" t="s">
        <v>190</v>
      </c>
    </row>
    <row r="12" ht="18.0" customHeight="1">
      <c r="A12" s="9" t="s">
        <v>226</v>
      </c>
      <c r="B12" s="10" t="s">
        <v>227</v>
      </c>
      <c r="C12" s="14" t="s">
        <v>99</v>
      </c>
      <c r="D12" s="16" t="str">
        <f>IF(C12="","",IF(C12="Không","Đúng","Chưa đúng"))</f>
        <v>Đúng</v>
      </c>
      <c r="E12" s="10" t="s">
        <v>190</v>
      </c>
    </row>
    <row r="13" ht="33.0" customHeight="1">
      <c r="A13" s="9" t="s">
        <v>228</v>
      </c>
      <c r="B13" s="10" t="s">
        <v>229</v>
      </c>
      <c r="C13" s="14" t="s">
        <v>204</v>
      </c>
      <c r="D13" s="16" t="str">
        <f t="shared" ref="D13:D14" si="1">IF(C13="","",IF(C13="Có","Đúng","Chưa đúng"))</f>
        <v>Đúng</v>
      </c>
      <c r="E13" s="10" t="s">
        <v>190</v>
      </c>
    </row>
    <row r="14" ht="33.0" customHeight="1">
      <c r="A14" s="9" t="s">
        <v>232</v>
      </c>
      <c r="B14" s="10" t="s">
        <v>233</v>
      </c>
      <c r="C14" s="14" t="s">
        <v>204</v>
      </c>
      <c r="D14" s="16" t="str">
        <f t="shared" si="1"/>
        <v>Đúng</v>
      </c>
      <c r="E14" s="10" t="s">
        <v>190</v>
      </c>
    </row>
    <row r="15" ht="33.0" customHeight="1">
      <c r="A15" s="9" t="s">
        <v>234</v>
      </c>
      <c r="B15" s="10" t="s">
        <v>235</v>
      </c>
      <c r="C15" s="14" t="s">
        <v>99</v>
      </c>
      <c r="D15" s="16" t="str">
        <f>IF(C15="","",IF(C15="Không","Đúng","Chưa đúng"))</f>
        <v>Đúng</v>
      </c>
      <c r="E15" s="10" t="s">
        <v>190</v>
      </c>
    </row>
    <row r="16" ht="48.0" customHeight="1">
      <c r="A16" s="9" t="s">
        <v>236</v>
      </c>
      <c r="B16" s="10" t="s">
        <v>237</v>
      </c>
      <c r="C16" s="15">
        <v>36.0</v>
      </c>
      <c r="D16" s="16" t="str">
        <f>IF(C16="","",IF(ISNUMBER(C16),IF(ABS(C16-36)&lt;=0.01,"Đúng","Chưa đúng"),"Gõ một số"))</f>
        <v>Đúng</v>
      </c>
      <c r="E16" s="10" t="s">
        <v>240</v>
      </c>
    </row>
    <row r="17" ht="18.0" customHeight="1">
      <c r="A17" s="9" t="s">
        <v>241</v>
      </c>
      <c r="B17" s="10" t="s">
        <v>242</v>
      </c>
      <c r="C17" s="15">
        <v>24.0</v>
      </c>
      <c r="D17" s="16" t="str">
        <f>IF(C17="","",IF(ISNUMBER(C17),IF(ABS(C17-24)&lt;=0.01,"Đúng","Chưa đúng"),"Gõ một số"))</f>
        <v>Đúng</v>
      </c>
      <c r="E17" s="10" t="s">
        <v>240</v>
      </c>
    </row>
    <row r="18" ht="33.0" customHeight="1">
      <c r="A18" s="9" t="s">
        <v>245</v>
      </c>
      <c r="B18" s="10" t="s">
        <v>246</v>
      </c>
      <c r="C18" s="15">
        <v>48.0</v>
      </c>
      <c r="D18" s="16" t="str">
        <f>IF(C18="","",IF(ISNUMBER(C18),IF(ABS(C18-48)&lt;=0.01,"Đúng","Chưa đúng"),"Gõ một số"))</f>
        <v>Đúng</v>
      </c>
      <c r="E18" s="10" t="s">
        <v>240</v>
      </c>
    </row>
    <row r="19" ht="33.0" customHeight="1">
      <c r="A19" s="9" t="s">
        <v>250</v>
      </c>
      <c r="B19" s="10" t="s">
        <v>252</v>
      </c>
      <c r="C19" s="14" t="s">
        <v>255</v>
      </c>
      <c r="D19" s="16" t="str">
        <f>IF(C19="","",IF(C19="Đại diện","Đúng","Chưa đúng"))</f>
        <v>Đúng</v>
      </c>
      <c r="E19" s="10" t="s">
        <v>258</v>
      </c>
    </row>
    <row r="20" ht="33.0" customHeight="1">
      <c r="A20" s="9" t="s">
        <v>259</v>
      </c>
      <c r="B20" s="10" t="s">
        <v>260</v>
      </c>
      <c r="C20" s="14" t="s">
        <v>261</v>
      </c>
      <c r="D20" s="16" t="str">
        <f t="shared" ref="D20:D21" si="2">IF(C20="","",IF(C20="Thử thách","Đúng","Chưa đúng"))</f>
        <v>Đúng</v>
      </c>
      <c r="E20" s="10" t="s">
        <v>258</v>
      </c>
    </row>
    <row r="21" ht="33.0" customHeight="1">
      <c r="A21" s="9" t="s">
        <v>264</v>
      </c>
      <c r="B21" s="10" t="s">
        <v>265</v>
      </c>
      <c r="C21" s="14" t="s">
        <v>261</v>
      </c>
      <c r="D21" s="16" t="str">
        <f t="shared" si="2"/>
        <v>Đúng</v>
      </c>
      <c r="E21" s="10" t="s">
        <v>258</v>
      </c>
    </row>
    <row r="22" ht="48.0" customHeight="1">
      <c r="A22" s="9" t="s">
        <v>267</v>
      </c>
      <c r="B22" s="10" t="s">
        <v>268</v>
      </c>
      <c r="C22" s="14" t="s">
        <v>269</v>
      </c>
      <c r="D22" s="16" t="str">
        <f>IF(C22="","",IF(C22="Hồi quy nghiêm trọng","Đúng","Chưa đúng"))</f>
        <v>Đúng</v>
      </c>
      <c r="E22" s="10" t="s">
        <v>258</v>
      </c>
    </row>
    <row r="23" ht="18.0" customHeight="1">
      <c r="A23" s="9" t="s">
        <v>271</v>
      </c>
      <c r="B23" s="10" t="s">
        <v>272</v>
      </c>
      <c r="C23" s="14" t="s">
        <v>249</v>
      </c>
      <c r="D23" s="16" t="str">
        <f>IF(C23="","",IF(C23="B","Đúng","Chưa đúng"))</f>
        <v>Đúng</v>
      </c>
      <c r="E23" s="10" t="s">
        <v>219</v>
      </c>
    </row>
    <row r="24" ht="15.75" customHeight="1"/>
    <row r="25" ht="18.0" customHeight="1">
      <c r="A25" s="12" t="s">
        <v>270</v>
      </c>
      <c r="B25" s="8"/>
      <c r="C25" s="18">
        <f>COUNTIF(D10:D23,"Đúng")</f>
        <v>14</v>
      </c>
      <c r="D25" s="10" t="s">
        <v>274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E2"/>
    <mergeCell ref="A4:E4"/>
    <mergeCell ref="A5:E5"/>
    <mergeCell ref="A7:E7"/>
    <mergeCell ref="A25:B25"/>
  </mergeCells>
  <dataValidations>
    <dataValidation type="list" allowBlank="1" sqref="C10:C15">
      <formula1>'_ds'!$A$1:$A$2</formula1>
    </dataValidation>
    <dataValidation type="list" allowBlank="1" sqref="C23">
      <formula1>'_ds'!$B$1:$B$3</formula1>
    </dataValidation>
    <dataValidation type="list" allowBlank="1" sqref="C19:C22">
      <formula1>'_ds'!$E$1:$E$3</formula1>
    </dataValidation>
  </dataValidation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275</v>
      </c>
    </row>
    <row r="2" ht="18.0" customHeight="1">
      <c r="A2" s="2" t="s">
        <v>4</v>
      </c>
    </row>
    <row r="4" ht="33.0" customHeight="1">
      <c r="A4" s="3" t="s">
        <v>276</v>
      </c>
    </row>
    <row r="5" ht="18.0" customHeight="1">
      <c r="A5" s="3" t="s">
        <v>277</v>
      </c>
    </row>
    <row r="7" ht="18.0" customHeight="1">
      <c r="A7" s="6" t="s">
        <v>278</v>
      </c>
      <c r="B7" s="7" t="s">
        <v>279</v>
      </c>
      <c r="C7" s="19"/>
      <c r="D7" s="19"/>
      <c r="E7" s="8"/>
    </row>
    <row r="8" ht="18.0" customHeight="1">
      <c r="A8" s="9" t="s">
        <v>280</v>
      </c>
      <c r="B8" s="11" t="s">
        <v>281</v>
      </c>
      <c r="C8" s="19"/>
      <c r="D8" s="19"/>
      <c r="E8" s="8"/>
    </row>
    <row r="9" ht="18.0" customHeight="1">
      <c r="A9" s="9"/>
      <c r="B9" s="11" t="s">
        <v>282</v>
      </c>
      <c r="C9" s="19"/>
      <c r="D9" s="19"/>
      <c r="E9" s="8"/>
    </row>
    <row r="10" ht="18.0" customHeight="1">
      <c r="A10" s="9"/>
      <c r="B10" s="11" t="s">
        <v>283</v>
      </c>
      <c r="C10" s="19"/>
      <c r="D10" s="19"/>
      <c r="E10" s="8"/>
    </row>
    <row r="11" ht="18.0" customHeight="1">
      <c r="A11" s="9"/>
      <c r="B11" s="11" t="s">
        <v>284</v>
      </c>
      <c r="C11" s="19"/>
      <c r="D11" s="19"/>
      <c r="E11" s="8"/>
    </row>
    <row r="12" ht="18.0" customHeight="1">
      <c r="A12" s="9"/>
      <c r="B12" s="11" t="s">
        <v>285</v>
      </c>
      <c r="C12" s="19"/>
      <c r="D12" s="19"/>
      <c r="E12" s="8"/>
    </row>
    <row r="13" ht="18.0" customHeight="1">
      <c r="A13" s="9" t="s">
        <v>286</v>
      </c>
      <c r="B13" s="11" t="s">
        <v>287</v>
      </c>
      <c r="C13" s="19"/>
      <c r="D13" s="19"/>
      <c r="E13" s="8"/>
    </row>
    <row r="14" ht="18.0" customHeight="1">
      <c r="A14" s="9"/>
      <c r="B14" s="11" t="s">
        <v>288</v>
      </c>
      <c r="C14" s="19"/>
      <c r="D14" s="19"/>
      <c r="E14" s="8"/>
    </row>
    <row r="15" ht="18.0" customHeight="1">
      <c r="A15" s="9"/>
      <c r="B15" s="11" t="s">
        <v>289</v>
      </c>
      <c r="C15" s="19"/>
      <c r="D15" s="19"/>
      <c r="E15" s="8"/>
    </row>
    <row r="16" ht="18.0" customHeight="1">
      <c r="A16" s="9"/>
      <c r="B16" s="11" t="s">
        <v>290</v>
      </c>
      <c r="C16" s="19"/>
      <c r="D16" s="19"/>
      <c r="E16" s="8"/>
    </row>
    <row r="17" ht="18.0" customHeight="1">
      <c r="A17" s="9" t="s">
        <v>291</v>
      </c>
      <c r="B17" s="11" t="s">
        <v>292</v>
      </c>
      <c r="C17" s="19"/>
      <c r="D17" s="19"/>
      <c r="E17" s="8"/>
    </row>
    <row r="18" ht="18.0" customHeight="1">
      <c r="A18" s="9"/>
      <c r="B18" s="11" t="s">
        <v>293</v>
      </c>
      <c r="C18" s="19"/>
      <c r="D18" s="19"/>
      <c r="E18" s="8"/>
    </row>
    <row r="19" ht="18.0" customHeight="1">
      <c r="A19" s="9"/>
      <c r="B19" s="11" t="s">
        <v>294</v>
      </c>
      <c r="C19" s="19"/>
      <c r="D19" s="19"/>
      <c r="E19" s="8"/>
    </row>
    <row r="20" ht="18.0" customHeight="1">
      <c r="A20" s="9"/>
      <c r="B20" s="11" t="s">
        <v>295</v>
      </c>
      <c r="C20" s="19"/>
      <c r="D20" s="19"/>
      <c r="E20" s="8"/>
    </row>
    <row r="21" ht="18.0" customHeight="1">
      <c r="A21" s="9" t="s">
        <v>296</v>
      </c>
      <c r="B21" s="11" t="s">
        <v>297</v>
      </c>
      <c r="C21" s="19"/>
      <c r="D21" s="19"/>
      <c r="E21" s="8"/>
    </row>
    <row r="22" ht="18.0" customHeight="1">
      <c r="A22" s="9"/>
      <c r="B22" s="11" t="s">
        <v>298</v>
      </c>
      <c r="C22" s="19"/>
      <c r="D22" s="19"/>
      <c r="E22" s="8"/>
    </row>
    <row r="23" ht="18.0" customHeight="1">
      <c r="A23" s="9"/>
      <c r="B23" s="11" t="s">
        <v>299</v>
      </c>
      <c r="C23" s="19"/>
      <c r="D23" s="19"/>
      <c r="E23" s="8"/>
    </row>
    <row r="24" ht="18.0" customHeight="1">
      <c r="A24" s="9"/>
      <c r="B24" s="11" t="s">
        <v>300</v>
      </c>
      <c r="C24" s="19"/>
      <c r="D24" s="19"/>
      <c r="E24" s="8"/>
    </row>
    <row r="25" ht="15.75" customHeight="1"/>
    <row r="26" ht="33.0" customHeight="1">
      <c r="A26" s="3" t="s">
        <v>301</v>
      </c>
    </row>
    <row r="27" ht="15.75" customHeight="1"/>
    <row r="28" ht="18.0" customHeight="1">
      <c r="A28" s="6" t="s">
        <v>18</v>
      </c>
      <c r="B28" s="6" t="s">
        <v>24</v>
      </c>
      <c r="C28" s="6" t="s">
        <v>29</v>
      </c>
      <c r="D28" s="6" t="s">
        <v>31</v>
      </c>
      <c r="E28" s="6" t="s">
        <v>33</v>
      </c>
    </row>
    <row r="29" ht="18.0" customHeight="1">
      <c r="A29" s="9" t="s">
        <v>302</v>
      </c>
      <c r="B29" s="10" t="s">
        <v>303</v>
      </c>
      <c r="C29" s="15">
        <v>2.0</v>
      </c>
      <c r="D29" s="16" t="str">
        <f>IF(C29="","",IF(ISNUMBER(C29),IF(ABS(C29-2)&lt;=0.01,"Đúng","Chưa đúng"),"Gõ một số"))</f>
        <v>Đúng</v>
      </c>
      <c r="E29" s="10" t="s">
        <v>311</v>
      </c>
    </row>
    <row r="30" ht="33.0" customHeight="1">
      <c r="A30" s="9" t="s">
        <v>313</v>
      </c>
      <c r="B30" s="10" t="s">
        <v>314</v>
      </c>
      <c r="C30" s="14" t="s">
        <v>111</v>
      </c>
      <c r="D30" s="16" t="str">
        <f>IF(C30="","",IF(C30="wrong_intent","Đúng","Chưa đúng"))</f>
        <v>Đúng</v>
      </c>
      <c r="E30" s="10" t="s">
        <v>330</v>
      </c>
    </row>
    <row r="31" ht="18.0" customHeight="1">
      <c r="A31" s="9" t="s">
        <v>331</v>
      </c>
      <c r="B31" s="10" t="s">
        <v>332</v>
      </c>
      <c r="C31" s="15">
        <v>3.0</v>
      </c>
      <c r="D31" s="16" t="str">
        <f>IF(C31="","",IF(ISNUMBER(C31),IF(ABS(C31-3)&lt;=0.01,"Đúng","Chưa đúng"),"Gõ một số"))</f>
        <v>Đúng</v>
      </c>
      <c r="E31" s="10" t="s">
        <v>311</v>
      </c>
    </row>
    <row r="32" ht="33.0" customHeight="1">
      <c r="A32" s="9" t="s">
        <v>336</v>
      </c>
      <c r="B32" s="10" t="s">
        <v>337</v>
      </c>
      <c r="C32" s="14" t="s">
        <v>113</v>
      </c>
      <c r="D32" s="16" t="str">
        <f>IF(C32="","",IF(C32="missing_lookup","Đúng","Chưa đúng"))</f>
        <v>Đúng</v>
      </c>
      <c r="E32" s="10" t="s">
        <v>330</v>
      </c>
    </row>
    <row r="33" ht="18.0" customHeight="1">
      <c r="A33" s="9" t="s">
        <v>340</v>
      </c>
      <c r="B33" s="10" t="s">
        <v>341</v>
      </c>
      <c r="C33" s="15">
        <v>4.0</v>
      </c>
      <c r="D33" s="16" t="str">
        <f>IF(C33="","",IF(ISNUMBER(C33),IF(ABS(C33-4)&lt;=0.01,"Đúng","Chưa đúng"),"Gõ một số"))</f>
        <v>Đúng</v>
      </c>
      <c r="E33" s="10" t="s">
        <v>311</v>
      </c>
    </row>
    <row r="34" ht="33.0" customHeight="1">
      <c r="A34" s="9" t="s">
        <v>344</v>
      </c>
      <c r="B34" s="10" t="s">
        <v>345</v>
      </c>
      <c r="C34" s="14" t="s">
        <v>121</v>
      </c>
      <c r="D34" s="16" t="str">
        <f>IF(C34="","",IF(C34="missing_escalation","Đúng","Chưa đúng"))</f>
        <v>Đúng</v>
      </c>
      <c r="E34" s="10" t="s">
        <v>330</v>
      </c>
    </row>
    <row r="35" ht="18.0" customHeight="1">
      <c r="A35" s="9" t="s">
        <v>349</v>
      </c>
      <c r="B35" s="10" t="s">
        <v>350</v>
      </c>
      <c r="C35" s="15">
        <v>4.0</v>
      </c>
      <c r="D35" s="16" t="str">
        <f>IF(C35="","",IF(ISNUMBER(C35),IF(ABS(C35-4)&lt;=0.01,"Đúng","Chưa đúng"),"Gõ một số"))</f>
        <v>Đúng</v>
      </c>
      <c r="E35" s="10" t="s">
        <v>311</v>
      </c>
    </row>
    <row r="36" ht="33.0" customHeight="1">
      <c r="A36" s="9" t="s">
        <v>355</v>
      </c>
      <c r="B36" s="10" t="s">
        <v>356</v>
      </c>
      <c r="C36" s="14" t="s">
        <v>127</v>
      </c>
      <c r="D36" s="16" t="str">
        <f>IF(C36="","",IF(C36="no_next_step","Đúng","Chưa đúng"))</f>
        <v>Đúng</v>
      </c>
      <c r="E36" s="10" t="s">
        <v>330</v>
      </c>
    </row>
    <row r="37" ht="18.0" customHeight="1">
      <c r="A37" s="9" t="s">
        <v>365</v>
      </c>
      <c r="B37" s="10" t="s">
        <v>367</v>
      </c>
      <c r="C37" s="14" t="s">
        <v>368</v>
      </c>
      <c r="D37" s="16" t="str">
        <f>IF(C37="","",IF(C37="A","Đúng","Chưa đúng"))</f>
        <v>Đúng</v>
      </c>
      <c r="E37" s="10" t="s">
        <v>375</v>
      </c>
    </row>
    <row r="38" ht="15.75" customHeight="1"/>
    <row r="39" ht="18.0" customHeight="1">
      <c r="A39" s="12" t="s">
        <v>270</v>
      </c>
      <c r="B39" s="8"/>
      <c r="C39" s="18">
        <f>COUNTIF(D29:D37,"Đúng")</f>
        <v>9</v>
      </c>
      <c r="D39" s="10" t="s">
        <v>273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A26:E26"/>
    <mergeCell ref="A39:B39"/>
    <mergeCell ref="B18:E18"/>
    <mergeCell ref="B19:E19"/>
    <mergeCell ref="B20:E20"/>
    <mergeCell ref="B21:E21"/>
    <mergeCell ref="B22:E22"/>
    <mergeCell ref="B23:E23"/>
    <mergeCell ref="B24:E24"/>
  </mergeCells>
  <dataValidations>
    <dataValidation type="list" allowBlank="1" sqref="C37">
      <formula1>'_ds'!$B$1:$B$3</formula1>
    </dataValidation>
    <dataValidation type="list" allowBlank="1" sqref="C30 C32 C34 C36">
      <formula1>'_ds'!$F$1:$F$5</formula1>
    </dataValidation>
  </dataValidations>
  <printOptions/>
  <pageMargins bottom="1.0" footer="0.0" header="0.0" left="0.75" right="0.75" top="1.0"/>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304</v>
      </c>
    </row>
    <row r="2" ht="18.0" customHeight="1">
      <c r="A2" s="2" t="s">
        <v>4</v>
      </c>
    </row>
    <row r="4" ht="33.0" customHeight="1">
      <c r="A4" s="3" t="s">
        <v>305</v>
      </c>
    </row>
    <row r="5" ht="33.0" customHeight="1">
      <c r="A5" s="3" t="s">
        <v>306</v>
      </c>
    </row>
    <row r="6" ht="33.0" customHeight="1">
      <c r="A6" s="3" t="s">
        <v>307</v>
      </c>
    </row>
    <row r="8" ht="31.5" customHeight="1">
      <c r="A8" s="7" t="s">
        <v>308</v>
      </c>
      <c r="B8" s="8"/>
      <c r="C8" s="6" t="s">
        <v>309</v>
      </c>
      <c r="D8" s="6" t="s">
        <v>310</v>
      </c>
      <c r="E8" s="6" t="s">
        <v>312</v>
      </c>
    </row>
    <row r="9" ht="18.0" customHeight="1">
      <c r="A9" s="11" t="s">
        <v>315</v>
      </c>
      <c r="B9" s="8"/>
      <c r="C9" s="10" t="s">
        <v>316</v>
      </c>
      <c r="D9" s="10" t="s">
        <v>317</v>
      </c>
      <c r="E9" s="10" t="s">
        <v>318</v>
      </c>
    </row>
    <row r="10" ht="18.0" customHeight="1">
      <c r="A10" s="11" t="s">
        <v>319</v>
      </c>
      <c r="B10" s="8"/>
      <c r="C10" s="10" t="s">
        <v>320</v>
      </c>
      <c r="D10" s="10" t="s">
        <v>320</v>
      </c>
      <c r="E10" s="10" t="s">
        <v>320</v>
      </c>
    </row>
    <row r="11" ht="18.0" customHeight="1">
      <c r="A11" s="11" t="s">
        <v>321</v>
      </c>
      <c r="B11" s="8"/>
      <c r="C11" s="10" t="s">
        <v>322</v>
      </c>
      <c r="D11" s="10" t="s">
        <v>323</v>
      </c>
      <c r="E11" s="10" t="s">
        <v>324</v>
      </c>
    </row>
    <row r="12" ht="18.0" customHeight="1">
      <c r="A12" s="11" t="s">
        <v>325</v>
      </c>
      <c r="B12" s="8"/>
      <c r="C12" s="10" t="s">
        <v>326</v>
      </c>
      <c r="D12" s="10" t="s">
        <v>327</v>
      </c>
      <c r="E12" s="10" t="s">
        <v>328</v>
      </c>
    </row>
    <row r="14" ht="33.0" customHeight="1">
      <c r="A14" s="3" t="s">
        <v>329</v>
      </c>
    </row>
    <row r="16" ht="18.0" customHeight="1">
      <c r="A16" s="6" t="s">
        <v>18</v>
      </c>
      <c r="B16" s="6" t="s">
        <v>24</v>
      </c>
      <c r="C16" s="6" t="s">
        <v>29</v>
      </c>
      <c r="D16" s="6" t="s">
        <v>31</v>
      </c>
      <c r="E16" s="6" t="s">
        <v>33</v>
      </c>
    </row>
    <row r="17" ht="48.0" customHeight="1">
      <c r="A17" s="9" t="s">
        <v>333</v>
      </c>
      <c r="B17" s="10" t="s">
        <v>334</v>
      </c>
      <c r="C17" s="14" t="s">
        <v>335</v>
      </c>
      <c r="D17" s="16" t="str">
        <f>IF(C17="","",IF(C17="Thiếu đặc tả → sửa câu lệnh","Đúng","Chưa đúng"))</f>
        <v>Đúng</v>
      </c>
      <c r="E17" s="10" t="s">
        <v>338</v>
      </c>
    </row>
    <row r="18" ht="48.0" customHeight="1">
      <c r="A18" s="9" t="s">
        <v>339</v>
      </c>
      <c r="B18" s="10" t="s">
        <v>342</v>
      </c>
      <c r="C18" s="14" t="s">
        <v>343</v>
      </c>
      <c r="D18" s="16" t="str">
        <f>IF(C18="","",IF(C18="Thiếu năng lực hệ thống → sửa kỹ thuật","Đúng","Chưa đúng"))</f>
        <v>Đúng</v>
      </c>
      <c r="E18" s="10" t="s">
        <v>338</v>
      </c>
    </row>
    <row r="19" ht="63.0" customHeight="1">
      <c r="A19" s="9" t="s">
        <v>346</v>
      </c>
      <c r="B19" s="10" t="s">
        <v>347</v>
      </c>
      <c r="C19" s="14" t="s">
        <v>348</v>
      </c>
      <c r="D19" s="16" t="str">
        <f>IF(C19="","",IF(C19="Lúc được lúc không → viết bài đánh giá tự động","Đúng","Chưa đúng"))</f>
        <v>Đúng</v>
      </c>
      <c r="E19" s="10" t="s">
        <v>338</v>
      </c>
    </row>
    <row r="20" ht="33.0" customHeight="1">
      <c r="A20" s="9" t="s">
        <v>351</v>
      </c>
      <c r="B20" s="10" t="s">
        <v>352</v>
      </c>
      <c r="C20" s="14" t="s">
        <v>353</v>
      </c>
      <c r="D20" s="16" t="str">
        <f t="shared" ref="D20:D23" si="1">IF(C20="","",IF(C20="Mã lệnh","Đúng","Chưa đúng"))</f>
        <v>Đúng</v>
      </c>
      <c r="E20" s="10" t="s">
        <v>360</v>
      </c>
    </row>
    <row r="21" ht="33.0" customHeight="1">
      <c r="A21" s="9" t="s">
        <v>361</v>
      </c>
      <c r="B21" s="10" t="s">
        <v>363</v>
      </c>
      <c r="C21" s="14" t="s">
        <v>353</v>
      </c>
      <c r="D21" s="16" t="str">
        <f t="shared" si="1"/>
        <v>Đúng</v>
      </c>
      <c r="E21" s="10" t="s">
        <v>370</v>
      </c>
    </row>
    <row r="22" ht="33.0" customHeight="1">
      <c r="A22" s="9" t="s">
        <v>371</v>
      </c>
      <c r="B22" s="10" t="s">
        <v>372</v>
      </c>
      <c r="C22" s="14" t="s">
        <v>353</v>
      </c>
      <c r="D22" s="16" t="str">
        <f t="shared" si="1"/>
        <v>Đúng</v>
      </c>
      <c r="E22" s="10" t="s">
        <v>374</v>
      </c>
    </row>
    <row r="23" ht="33.0" customHeight="1">
      <c r="A23" s="9" t="s">
        <v>376</v>
      </c>
      <c r="B23" s="10" t="s">
        <v>377</v>
      </c>
      <c r="C23" s="14" t="s">
        <v>353</v>
      </c>
      <c r="D23" s="16" t="str">
        <f t="shared" si="1"/>
        <v>Đúng</v>
      </c>
      <c r="E23" s="10" t="s">
        <v>374</v>
      </c>
    </row>
    <row r="24" ht="33.0" customHeight="1">
      <c r="A24" s="9" t="s">
        <v>378</v>
      </c>
      <c r="B24" s="10" t="s">
        <v>379</v>
      </c>
      <c r="C24" s="14" t="s">
        <v>366</v>
      </c>
      <c r="D24" s="16" t="str">
        <f>IF(C24="","",IF(C24="Giám khảo AI","Đúng","Chưa đúng"))</f>
        <v>Đúng</v>
      </c>
      <c r="E24" s="10" t="s">
        <v>360</v>
      </c>
    </row>
    <row r="25" ht="33.0" customHeight="1">
      <c r="A25" s="9" t="s">
        <v>383</v>
      </c>
      <c r="B25" s="10" t="s">
        <v>384</v>
      </c>
      <c r="C25" s="14" t="s">
        <v>385</v>
      </c>
      <c r="D25" s="16" t="str">
        <f>IF(C25="","",IF(C25="Người quyết","Đúng","Chưa đúng"))</f>
        <v>Đúng</v>
      </c>
      <c r="E25" s="10" t="s">
        <v>391</v>
      </c>
    </row>
    <row r="26" ht="33.0" customHeight="1">
      <c r="A26" s="9" t="s">
        <v>393</v>
      </c>
      <c r="B26" s="10" t="s">
        <v>394</v>
      </c>
      <c r="C26" s="14" t="s">
        <v>397</v>
      </c>
      <c r="D26" s="16" t="str">
        <f>IF(C26="","",IF(C26="Đạt · đúng 1 nhãn","Đúng","Chưa đúng"))</f>
        <v>Đúng</v>
      </c>
      <c r="E26" s="10" t="s">
        <v>402</v>
      </c>
    </row>
    <row r="27" ht="33.0" customHeight="1">
      <c r="A27" s="9" t="s">
        <v>403</v>
      </c>
      <c r="B27" s="10" t="s">
        <v>406</v>
      </c>
      <c r="C27" s="14" t="s">
        <v>409</v>
      </c>
      <c r="D27" s="16" t="str">
        <f>IF(C27="","",IF(C27="Không đạt · không có nhãn hợp lệ","Đúng","Chưa đúng"))</f>
        <v>Đúng</v>
      </c>
      <c r="E27" s="10" t="s">
        <v>402</v>
      </c>
    </row>
    <row r="28" ht="33.0" customHeight="1">
      <c r="A28" s="9" t="s">
        <v>413</v>
      </c>
      <c r="B28" s="10" t="s">
        <v>414</v>
      </c>
      <c r="C28" s="14" t="s">
        <v>415</v>
      </c>
      <c r="D28" s="16" t="str">
        <f>IF(C28="","",IF(C28="Không đạt · nhiều hơn 1 nhãn","Đúng","Chưa đúng"))</f>
        <v>Đúng</v>
      </c>
      <c r="E28" s="10" t="s">
        <v>402</v>
      </c>
    </row>
    <row r="29" ht="33.0" customHeight="1">
      <c r="A29" s="9" t="s">
        <v>418</v>
      </c>
      <c r="B29" s="10" t="s">
        <v>419</v>
      </c>
      <c r="C29" s="14" t="s">
        <v>249</v>
      </c>
      <c r="D29" s="16" t="str">
        <f>IF(C29="","",IF(C29="B","Đúng","Chưa đúng"))</f>
        <v>Đúng</v>
      </c>
      <c r="E29" s="10" t="s">
        <v>422</v>
      </c>
    </row>
    <row r="30" ht="33.0" customHeight="1">
      <c r="A30" s="9" t="s">
        <v>423</v>
      </c>
      <c r="B30" s="10" t="s">
        <v>424</v>
      </c>
      <c r="C30" s="14" t="s">
        <v>426</v>
      </c>
      <c r="D30" s="16" t="str">
        <f>IF(C30="","",IF(C30="Lặp tiếp","Đúng","Chưa đúng"))</f>
        <v>Đúng</v>
      </c>
      <c r="E30" s="10" t="s">
        <v>434</v>
      </c>
    </row>
    <row r="31" ht="33.0" customHeight="1">
      <c r="A31" s="9" t="s">
        <v>436</v>
      </c>
      <c r="B31" s="10" t="s">
        <v>437</v>
      </c>
      <c r="C31" s="14" t="s">
        <v>439</v>
      </c>
      <c r="D31" s="16" t="str">
        <f>IF(C31="","",IF(C31="Sửa câu lệnh","Đúng","Chưa đúng"))</f>
        <v>Đúng</v>
      </c>
      <c r="E31" s="10" t="s">
        <v>434</v>
      </c>
    </row>
    <row r="32" ht="15.75" customHeight="1"/>
    <row r="33" ht="18.0" customHeight="1">
      <c r="A33" s="12" t="s">
        <v>270</v>
      </c>
      <c r="B33" s="8"/>
      <c r="C33" s="18">
        <f>COUNTIF(D17:D31,"Đúng")</f>
        <v>15</v>
      </c>
      <c r="D33" s="10" t="s">
        <v>447</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1:B11"/>
    <mergeCell ref="A12:B12"/>
    <mergeCell ref="A14:E14"/>
    <mergeCell ref="A33:B33"/>
    <mergeCell ref="A2:E2"/>
    <mergeCell ref="A4:E4"/>
    <mergeCell ref="A5:E5"/>
    <mergeCell ref="A6:E6"/>
    <mergeCell ref="A8:B8"/>
    <mergeCell ref="A9:B9"/>
    <mergeCell ref="A10:B10"/>
  </mergeCells>
  <dataValidations>
    <dataValidation type="list" allowBlank="1" sqref="C20:C25">
      <formula1>'_ds'!$H$1:$H$3</formula1>
    </dataValidation>
    <dataValidation type="list" allowBlank="1" sqref="C29">
      <formula1>'_ds'!$B$1:$B$3</formula1>
    </dataValidation>
    <dataValidation type="list" allowBlank="1" sqref="C31">
      <formula1>'_ds'!$K$1:$K$3</formula1>
    </dataValidation>
    <dataValidation type="list" allowBlank="1" sqref="C30">
      <formula1>'_ds'!$J$1:$J$3</formula1>
    </dataValidation>
    <dataValidation type="list" allowBlank="1" sqref="C17:C19">
      <formula1>'_ds'!$G$1:$G$3</formula1>
    </dataValidation>
    <dataValidation type="list" allowBlank="1" sqref="C26:C28">
      <formula1>'_ds'!$I$1:$I$3</formula1>
    </dataValidation>
  </dataValidations>
  <printOptions/>
  <pageMargins bottom="1.0" footer="0.0" header="0.0" left="0.75" right="0.75" top="1.0"/>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70.0"/>
    <col customWidth="1" min="3" max="3" width="22.0"/>
    <col customWidth="1" min="4" max="4" width="14.0"/>
    <col customWidth="1" min="5" max="5" width="13.0"/>
    <col customWidth="1" min="6" max="26" width="8.71"/>
  </cols>
  <sheetData>
    <row r="1">
      <c r="A1" s="1" t="s">
        <v>354</v>
      </c>
    </row>
    <row r="2" ht="18.0" customHeight="1">
      <c r="A2" s="2" t="s">
        <v>4</v>
      </c>
    </row>
    <row r="4" ht="18.0" customHeight="1">
      <c r="A4" s="3" t="s">
        <v>357</v>
      </c>
    </row>
    <row r="5" ht="18.0" customHeight="1">
      <c r="A5" s="3" t="s">
        <v>358</v>
      </c>
    </row>
    <row r="6" ht="33.0" customHeight="1">
      <c r="A6" s="3" t="s">
        <v>359</v>
      </c>
    </row>
    <row r="8" ht="18.0" customHeight="1">
      <c r="A8" s="6" t="s">
        <v>362</v>
      </c>
      <c r="B8" s="6" t="s">
        <v>364</v>
      </c>
      <c r="C8" s="6" t="s">
        <v>366</v>
      </c>
    </row>
    <row r="9" ht="18.0" customHeight="1">
      <c r="A9" s="10" t="s">
        <v>79</v>
      </c>
      <c r="B9" s="10" t="s">
        <v>369</v>
      </c>
      <c r="C9" s="10" t="s">
        <v>369</v>
      </c>
    </row>
    <row r="10" ht="18.0" customHeight="1">
      <c r="A10" s="10" t="s">
        <v>84</v>
      </c>
      <c r="B10" s="10" t="s">
        <v>369</v>
      </c>
      <c r="C10" s="10" t="s">
        <v>369</v>
      </c>
    </row>
    <row r="11" ht="18.0" customHeight="1">
      <c r="A11" s="10" t="s">
        <v>93</v>
      </c>
      <c r="B11" s="10" t="s">
        <v>373</v>
      </c>
      <c r="C11" s="10" t="s">
        <v>369</v>
      </c>
    </row>
    <row r="12" ht="18.0" customHeight="1">
      <c r="A12" s="10" t="s">
        <v>119</v>
      </c>
      <c r="B12" s="10" t="s">
        <v>369</v>
      </c>
      <c r="C12" s="10" t="s">
        <v>369</v>
      </c>
    </row>
    <row r="13" ht="18.0" customHeight="1">
      <c r="A13" s="10" t="s">
        <v>125</v>
      </c>
      <c r="B13" s="10" t="s">
        <v>369</v>
      </c>
      <c r="C13" s="10" t="s">
        <v>373</v>
      </c>
    </row>
    <row r="14" ht="18.0" customHeight="1">
      <c r="A14" s="10" t="s">
        <v>149</v>
      </c>
      <c r="B14" s="10" t="s">
        <v>373</v>
      </c>
      <c r="C14" s="10" t="s">
        <v>373</v>
      </c>
    </row>
    <row r="15" ht="18.0" customHeight="1">
      <c r="A15" s="10" t="s">
        <v>152</v>
      </c>
      <c r="B15" s="10" t="s">
        <v>369</v>
      </c>
      <c r="C15" s="10" t="s">
        <v>369</v>
      </c>
    </row>
    <row r="16" ht="18.0" customHeight="1">
      <c r="A16" s="10" t="s">
        <v>155</v>
      </c>
      <c r="B16" s="10" t="s">
        <v>373</v>
      </c>
      <c r="C16" s="10" t="s">
        <v>369</v>
      </c>
    </row>
    <row r="17" ht="18.0" customHeight="1">
      <c r="A17" s="10" t="s">
        <v>158</v>
      </c>
      <c r="B17" s="10" t="s">
        <v>369</v>
      </c>
      <c r="C17" s="10" t="s">
        <v>369</v>
      </c>
    </row>
    <row r="18" ht="18.0" customHeight="1">
      <c r="A18" s="10" t="s">
        <v>162</v>
      </c>
      <c r="B18" s="10" t="s">
        <v>373</v>
      </c>
      <c r="C18" s="10" t="s">
        <v>373</v>
      </c>
    </row>
    <row r="19" ht="18.0" customHeight="1">
      <c r="A19" s="10" t="s">
        <v>166</v>
      </c>
      <c r="B19" s="10" t="s">
        <v>369</v>
      </c>
      <c r="C19" s="10" t="s">
        <v>369</v>
      </c>
    </row>
    <row r="20" ht="18.0" customHeight="1">
      <c r="A20" s="10" t="s">
        <v>170</v>
      </c>
      <c r="B20" s="10" t="s">
        <v>369</v>
      </c>
      <c r="C20" s="10" t="s">
        <v>369</v>
      </c>
    </row>
    <row r="21" ht="15.75" customHeight="1"/>
    <row r="22" ht="33.0" customHeight="1">
      <c r="A22" s="3" t="s">
        <v>380</v>
      </c>
    </row>
    <row r="23" ht="15.75" customHeight="1"/>
    <row r="24" ht="18.0" customHeight="1">
      <c r="A24" s="6" t="s">
        <v>18</v>
      </c>
      <c r="B24" s="6" t="s">
        <v>24</v>
      </c>
      <c r="C24" s="6" t="s">
        <v>29</v>
      </c>
      <c r="D24" s="6" t="s">
        <v>31</v>
      </c>
      <c r="E24" s="6" t="s">
        <v>33</v>
      </c>
    </row>
    <row r="25" ht="18.0" customHeight="1">
      <c r="A25" s="9" t="s">
        <v>381</v>
      </c>
      <c r="B25" s="10" t="s">
        <v>382</v>
      </c>
      <c r="C25" s="15">
        <v>8.0</v>
      </c>
      <c r="D25" s="16" t="str">
        <f>IF(C25="","",IF(ISNUMBER(C25),IF(ABS(C25-8)&lt;=0.01,"Đúng","Chưa đúng"),"Gõ một số"))</f>
        <v>Đúng</v>
      </c>
      <c r="E25" s="10" t="s">
        <v>386</v>
      </c>
    </row>
    <row r="26" ht="18.0" customHeight="1">
      <c r="A26" s="9" t="s">
        <v>387</v>
      </c>
      <c r="B26" s="10" t="s">
        <v>388</v>
      </c>
      <c r="C26" s="15">
        <v>9.0</v>
      </c>
      <c r="D26" s="16" t="str">
        <f t="shared" ref="D26:D27" si="1">IF(C26="","",IF(ISNUMBER(C26),IF(ABS(C26-9)&lt;=0.01,"Đúng","Chưa đúng"),"Gõ một số"))</f>
        <v>Đúng</v>
      </c>
      <c r="E26" s="10" t="s">
        <v>386</v>
      </c>
    </row>
    <row r="27" ht="18.0" customHeight="1">
      <c r="A27" s="9" t="s">
        <v>395</v>
      </c>
      <c r="B27" s="10" t="s">
        <v>396</v>
      </c>
      <c r="C27" s="15">
        <v>9.0</v>
      </c>
      <c r="D27" s="16" t="str">
        <f t="shared" si="1"/>
        <v>Đúng</v>
      </c>
      <c r="E27" s="10" t="s">
        <v>386</v>
      </c>
    </row>
    <row r="28" ht="18.0" customHeight="1">
      <c r="A28" s="9" t="s">
        <v>399</v>
      </c>
      <c r="B28" s="10" t="s">
        <v>400</v>
      </c>
      <c r="C28" s="15">
        <v>7.0</v>
      </c>
      <c r="D28" s="16" t="str">
        <f>IF(C28="","",IF(ISNUMBER(C28),IF(ABS(C28-7)&lt;=0.01,"Đúng","Chưa đúng"),"Gõ một số"))</f>
        <v>Đúng</v>
      </c>
      <c r="E28" s="10" t="s">
        <v>386</v>
      </c>
    </row>
    <row r="29" ht="18.0" customHeight="1">
      <c r="A29" s="9" t="s">
        <v>404</v>
      </c>
      <c r="B29" s="10" t="s">
        <v>407</v>
      </c>
      <c r="C29" s="15">
        <v>2.0</v>
      </c>
      <c r="D29" s="16" t="str">
        <f>IF(C29="","",IF(ISNUMBER(C29),IF(ABS(C29-2)&lt;=0.01,"Đúng","Chưa đúng"),"Gõ một số"))</f>
        <v>Đúng</v>
      </c>
      <c r="E29" s="10" t="s">
        <v>386</v>
      </c>
    </row>
    <row r="30" ht="18.0" customHeight="1">
      <c r="A30" s="9" t="s">
        <v>411</v>
      </c>
      <c r="B30" s="10" t="s">
        <v>412</v>
      </c>
      <c r="C30" s="15">
        <v>1.0</v>
      </c>
      <c r="D30" s="16" t="str">
        <f>IF(C30="","",IF(ISNUMBER(C30),IF(ABS(C30-1)&lt;=0.01,"Đúng","Chưa đúng"),"Gõ một số"))</f>
        <v>Đúng</v>
      </c>
      <c r="E30" s="10" t="s">
        <v>386</v>
      </c>
    </row>
    <row r="31" ht="18.0" customHeight="1">
      <c r="A31" s="9" t="s">
        <v>416</v>
      </c>
      <c r="B31" s="10" t="s">
        <v>417</v>
      </c>
      <c r="C31" s="15">
        <v>2.0</v>
      </c>
      <c r="D31" s="16" t="str">
        <f>IF(C31="","",IF(ISNUMBER(C31),IF(ABS(C31-2)&lt;=0.01,"Đúng","Chưa đúng"),"Gõ một số"))</f>
        <v>Đúng</v>
      </c>
      <c r="E31" s="10" t="s">
        <v>386</v>
      </c>
    </row>
    <row r="32" ht="18.0" customHeight="1">
      <c r="A32" s="9" t="s">
        <v>420</v>
      </c>
      <c r="B32" s="10" t="s">
        <v>421</v>
      </c>
      <c r="C32" s="22">
        <v>87.5</v>
      </c>
      <c r="D32" s="16" t="str">
        <f>IF(C32="","",IF(ISNUMBER(C32),IF(OR(ABS(C32-0.875)&lt;=0.006,ABS(C32-87.5)&lt;=0.6),"Đúng","Chưa đúng"),"Gõ một số"))</f>
        <v>Đúng</v>
      </c>
      <c r="E32" s="10" t="s">
        <v>386</v>
      </c>
    </row>
    <row r="33" ht="18.0" customHeight="1">
      <c r="A33" s="9" t="s">
        <v>429</v>
      </c>
      <c r="B33" s="10" t="s">
        <v>431</v>
      </c>
      <c r="C33" s="22">
        <v>50.0</v>
      </c>
      <c r="D33" s="16" t="str">
        <f>IF(C33="","",IF(ISNUMBER(C33),IF(OR(ABS(C33-0.5)&lt;=0.006,ABS(C33-50)&lt;=0.6),"Đúng","Chưa đúng"),"Gõ một số"))</f>
        <v>Đúng</v>
      </c>
      <c r="E33" s="10" t="s">
        <v>386</v>
      </c>
    </row>
    <row r="34" ht="18.0" customHeight="1">
      <c r="A34" s="9" t="s">
        <v>444</v>
      </c>
      <c r="B34" s="10" t="s">
        <v>445</v>
      </c>
      <c r="C34" s="14" t="s">
        <v>249</v>
      </c>
      <c r="D34" s="16" t="str">
        <f>IF(C34="","",IF(C34="B","Đúng","Chưa đúng"))</f>
        <v>Đúng</v>
      </c>
      <c r="E34" s="10" t="s">
        <v>448</v>
      </c>
    </row>
    <row r="35" ht="18.0" customHeight="1">
      <c r="A35" s="9" t="s">
        <v>449</v>
      </c>
      <c r="B35" s="10" t="s">
        <v>451</v>
      </c>
      <c r="C35" s="14" t="s">
        <v>452</v>
      </c>
      <c r="D35" s="16" t="str">
        <f>IF(C35="","",IF(C35="Cho qua lỗi","Đúng","Chưa đúng"))</f>
        <v>Đúng</v>
      </c>
      <c r="E35" s="10" t="s">
        <v>386</v>
      </c>
    </row>
    <row r="36" ht="63.0" customHeight="1">
      <c r="A36" s="9" t="s">
        <v>454</v>
      </c>
      <c r="B36" s="10" t="s">
        <v>455</v>
      </c>
      <c r="C36" s="24">
        <v>0.4</v>
      </c>
      <c r="D36" s="16" t="str">
        <f>IF(C36="","",IF(ISNUMBER(C36),IF(ABS(C36-0.4)&lt;=0.006,"Đúng","Chưa đúng"),"Gõ một số"))</f>
        <v>Đúng</v>
      </c>
      <c r="E36" s="10" t="s">
        <v>457</v>
      </c>
    </row>
    <row r="37" ht="33.0" customHeight="1">
      <c r="A37" s="9" t="s">
        <v>458</v>
      </c>
      <c r="B37" s="10" t="s">
        <v>459</v>
      </c>
      <c r="C37" s="15">
        <v>4.0</v>
      </c>
      <c r="D37" s="16" t="str">
        <f>IF(C37="","",IF(ISNUMBER(C37),IF(ABS(C37-4)&lt;=0.01,"Đúng","Chưa đúng"),"Gõ một số"))</f>
        <v>Đúng</v>
      </c>
      <c r="E37" s="10" t="s">
        <v>448</v>
      </c>
    </row>
    <row r="38" ht="33.0" customHeight="1">
      <c r="A38" s="9" t="s">
        <v>462</v>
      </c>
      <c r="B38" s="10" t="s">
        <v>463</v>
      </c>
      <c r="C38" s="14" t="s">
        <v>204</v>
      </c>
      <c r="D38" s="16" t="str">
        <f>IF(C38="","",IF(C38="Có","Đúng","Chưa đúng"))</f>
        <v>Đúng</v>
      </c>
      <c r="E38" s="10" t="s">
        <v>448</v>
      </c>
    </row>
    <row r="39" ht="33.0" customHeight="1">
      <c r="A39" s="9" t="s">
        <v>464</v>
      </c>
      <c r="B39" s="10" t="s">
        <v>465</v>
      </c>
      <c r="C39" s="14" t="s">
        <v>466</v>
      </c>
      <c r="D39" s="16" t="str">
        <f t="shared" ref="D39:D41" si="2">IF(C39="","",IF(C39="Sai","Đúng","Chưa đúng"))</f>
        <v>Đúng</v>
      </c>
      <c r="E39" s="10" t="s">
        <v>457</v>
      </c>
    </row>
    <row r="40" ht="18.0" customHeight="1">
      <c r="A40" s="9" t="s">
        <v>467</v>
      </c>
      <c r="B40" s="10" t="s">
        <v>468</v>
      </c>
      <c r="C40" s="14" t="s">
        <v>466</v>
      </c>
      <c r="D40" s="16" t="str">
        <f t="shared" si="2"/>
        <v>Đúng</v>
      </c>
      <c r="E40" s="10" t="s">
        <v>469</v>
      </c>
    </row>
    <row r="41" ht="18.0" customHeight="1">
      <c r="A41" s="9" t="s">
        <v>470</v>
      </c>
      <c r="B41" s="10" t="s">
        <v>471</v>
      </c>
      <c r="C41" s="14" t="s">
        <v>466</v>
      </c>
      <c r="D41" s="16" t="str">
        <f t="shared" si="2"/>
        <v>Đúng</v>
      </c>
      <c r="E41" s="10" t="s">
        <v>457</v>
      </c>
    </row>
    <row r="42" ht="33.0" customHeight="1">
      <c r="A42" s="9" t="s">
        <v>473</v>
      </c>
      <c r="B42" s="10" t="s">
        <v>474</v>
      </c>
      <c r="C42" s="14" t="s">
        <v>476</v>
      </c>
      <c r="D42" s="16" t="str">
        <f>IF(C42="","",IF(C42="Đúng","Đúng","Chưa đúng"))</f>
        <v>Đúng</v>
      </c>
      <c r="E42" s="10" t="s">
        <v>481</v>
      </c>
    </row>
    <row r="43" ht="15.75" customHeight="1"/>
    <row r="44" ht="18.0" customHeight="1">
      <c r="A44" s="12" t="s">
        <v>270</v>
      </c>
      <c r="B44" s="8"/>
      <c r="C44" s="18">
        <f>COUNTIF(D25:D42,"Đúng")</f>
        <v>18</v>
      </c>
      <c r="D44" s="10" t="s">
        <v>483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E2"/>
    <mergeCell ref="A4:E4"/>
    <mergeCell ref="A5:E5"/>
    <mergeCell ref="A6:E6"/>
    <mergeCell ref="A22:E22"/>
    <mergeCell ref="A44:B44"/>
  </mergeCells>
  <dataValidations>
    <dataValidation type="list" allowBlank="1" sqref="C39:C42">
      <formula1>'_ds'!$M$1:$M$2</formula1>
    </dataValidation>
    <dataValidation type="list" allowBlank="1" sqref="C38">
      <formula1>'_ds'!$A$1:$A$2</formula1>
    </dataValidation>
    <dataValidation type="list" allowBlank="1" sqref="C34">
      <formula1>'_ds'!$B$1:$B$3</formula1>
    </dataValidation>
    <dataValidation type="list" allowBlank="1" sqref="C35">
      <formula1>'_ds'!$L$1:$L$2</formula1>
    </dataValidation>
  </dataValidations>
  <printOptions/>
  <pageMargins bottom="1.0" footer="0.0" header="0.0" left="0.75" right="0.75" top="1.0"/>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0"/>
    <col customWidth="1" min="2" max="2" width="34.0"/>
    <col customWidth="1" min="3" max="3" width="40.0"/>
    <col customWidth="1" min="4" max="4" width="34.0"/>
    <col customWidth="1" min="5" max="5" width="22.0"/>
    <col customWidth="1" min="6" max="7" width="16.0"/>
    <col customWidth="1" min="8" max="26" width="8.71"/>
  </cols>
  <sheetData>
    <row r="1">
      <c r="A1" s="1" t="s">
        <v>389</v>
      </c>
    </row>
    <row r="2" ht="33.0" customHeight="1">
      <c r="A2" s="2" t="s">
        <v>390</v>
      </c>
    </row>
    <row r="3" ht="98.25" customHeight="1">
      <c r="A3" s="12" t="s">
        <v>392</v>
      </c>
      <c r="B3" s="8"/>
      <c r="C3" s="20" t="s">
        <v>398</v>
      </c>
      <c r="D3" s="19"/>
      <c r="E3" s="19"/>
      <c r="F3" s="19"/>
      <c r="G3" s="8"/>
    </row>
    <row r="5" ht="18.0" customHeight="1">
      <c r="A5" s="21" t="s">
        <v>401</v>
      </c>
    </row>
    <row r="6" ht="18.0" customHeight="1">
      <c r="A6" s="3" t="s">
        <v>405</v>
      </c>
    </row>
    <row r="7" ht="61.5" customHeight="1">
      <c r="A7" s="12" t="s">
        <v>408</v>
      </c>
      <c r="B7" s="8"/>
      <c r="C7" s="20" t="s">
        <v>410</v>
      </c>
      <c r="D7" s="19"/>
      <c r="E7" s="19"/>
      <c r="F7" s="8"/>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ht="18.0" customHeight="1">
      <c r="A9" s="21" t="s">
        <v>425</v>
      </c>
    </row>
    <row r="10" ht="18.0" customHeight="1">
      <c r="A10" s="3" t="s">
        <v>427</v>
      </c>
    </row>
    <row r="11" ht="18.0" customHeight="1">
      <c r="A11" s="6" t="s">
        <v>428</v>
      </c>
      <c r="B11" s="6" t="s">
        <v>430</v>
      </c>
      <c r="C11" s="6" t="s">
        <v>432</v>
      </c>
      <c r="D11" s="7" t="s">
        <v>433</v>
      </c>
      <c r="E11" s="19"/>
      <c r="F11" s="19"/>
      <c r="G11" s="8"/>
    </row>
    <row r="12" ht="33.75" customHeight="1">
      <c r="A12" s="10" t="s">
        <v>79</v>
      </c>
      <c r="B12" s="14" t="s">
        <v>435</v>
      </c>
      <c r="C12" s="15">
        <v>4.0</v>
      </c>
      <c r="D12" s="20" t="s">
        <v>438</v>
      </c>
      <c r="E12" s="19"/>
      <c r="F12" s="19"/>
      <c r="G12" s="8"/>
    </row>
    <row r="13" ht="33.75" customHeight="1">
      <c r="A13" s="10" t="s">
        <v>84</v>
      </c>
      <c r="B13" s="14" t="s">
        <v>440</v>
      </c>
      <c r="C13" s="15">
        <v>3.0</v>
      </c>
      <c r="D13" s="20" t="s">
        <v>441</v>
      </c>
      <c r="E13" s="19"/>
      <c r="F13" s="19"/>
      <c r="G13" s="8"/>
    </row>
    <row r="14" ht="33.75" customHeight="1">
      <c r="A14" s="10" t="s">
        <v>93</v>
      </c>
      <c r="B14" s="14" t="s">
        <v>442</v>
      </c>
      <c r="C14" s="15">
        <v>3.0</v>
      </c>
      <c r="D14" s="20" t="s">
        <v>443</v>
      </c>
      <c r="E14" s="19"/>
      <c r="F14" s="19"/>
      <c r="G14" s="8"/>
    </row>
    <row r="15" ht="18.0" customHeight="1">
      <c r="A15" s="12" t="s">
        <v>446</v>
      </c>
      <c r="B15" s="8"/>
      <c r="C15" s="23">
        <f>IF(COUNT(C12:C14)&lt;3,"",PRODUCT(C12:C14))</f>
        <v>36</v>
      </c>
    </row>
    <row r="16" ht="18.0" customHeight="1">
      <c r="A16" s="12" t="s">
        <v>450</v>
      </c>
      <c r="B16" s="8"/>
      <c r="C16" s="15">
        <v>12.0</v>
      </c>
    </row>
    <row r="17" ht="18.0" customHeight="1">
      <c r="A17" s="12" t="s">
        <v>453</v>
      </c>
      <c r="B17" s="8"/>
      <c r="C17" s="23">
        <f>IF(OR(C15="",C16=""),"",C15-C16)</f>
        <v>24</v>
      </c>
    </row>
    <row r="18" ht="18.0" customHeight="1">
      <c r="A18" s="12" t="s">
        <v>456</v>
      </c>
      <c r="B18" s="8"/>
      <c r="C18" s="15">
        <v>16.0</v>
      </c>
      <c r="D18" s="16" t="str">
        <f>IF(OR(C18="",C17=""),"",IF(C18&gt;C17,"Chọn nhiều hơn số còn lại","Đạt"))</f>
        <v>Đạt</v>
      </c>
    </row>
    <row r="19" ht="18.0" customHeight="1">
      <c r="A19" s="12" t="s">
        <v>460</v>
      </c>
      <c r="B19" s="8"/>
      <c r="C19" s="15">
        <v>3.0</v>
      </c>
    </row>
    <row r="20" ht="18.0" customHeight="1">
      <c r="A20" s="12" t="s">
        <v>461</v>
      </c>
      <c r="B20" s="8"/>
      <c r="C20" s="18">
        <f>IF(OR(C18="",C19=""),"",C18*C19)</f>
        <v>48</v>
      </c>
      <c r="D20" s="16" t="str">
        <f>IF(C20="","",IF(AND(C20&gt;=40,C20&lt;=50),"Đạt","Nên trong khoảng 40–50 (trang 29)"))</f>
        <v>Đạt</v>
      </c>
    </row>
    <row r="21" ht="15.75" customHeight="1"/>
    <row r="22" ht="18.0" customHeight="1">
      <c r="A22" s="21" t="s">
        <v>472</v>
      </c>
    </row>
    <row r="23" ht="18.0" customHeight="1">
      <c r="A23" s="3" t="s">
        <v>475</v>
      </c>
    </row>
    <row r="24" ht="18.0" customHeight="1">
      <c r="A24" s="6" t="s">
        <v>428</v>
      </c>
      <c r="B24" s="6" t="s">
        <v>477</v>
      </c>
      <c r="C24" s="7" t="s">
        <v>478</v>
      </c>
      <c r="D24" s="8"/>
      <c r="E24" s="6" t="s">
        <v>479</v>
      </c>
    </row>
    <row r="25" ht="48.0" customHeight="1">
      <c r="A25" s="10" t="s">
        <v>79</v>
      </c>
      <c r="B25" s="14" t="s">
        <v>480</v>
      </c>
      <c r="C25" s="20" t="s">
        <v>482</v>
      </c>
      <c r="D25" s="8"/>
      <c r="E25" s="14" t="s">
        <v>255</v>
      </c>
    </row>
    <row r="26" ht="48.0" customHeight="1">
      <c r="A26" s="10" t="s">
        <v>84</v>
      </c>
      <c r="B26" s="14" t="s">
        <v>484</v>
      </c>
      <c r="C26" s="20" t="s">
        <v>485</v>
      </c>
      <c r="D26" s="8"/>
      <c r="E26" s="14" t="s">
        <v>255</v>
      </c>
    </row>
    <row r="27" ht="48.0" customHeight="1">
      <c r="A27" s="10" t="s">
        <v>93</v>
      </c>
      <c r="B27" s="14" t="s">
        <v>486</v>
      </c>
      <c r="C27" s="20" t="s">
        <v>487</v>
      </c>
      <c r="D27" s="8"/>
      <c r="E27" s="14" t="s">
        <v>255</v>
      </c>
    </row>
    <row r="28" ht="48.0" customHeight="1">
      <c r="A28" s="10" t="s">
        <v>119</v>
      </c>
      <c r="B28" s="14" t="s">
        <v>488</v>
      </c>
      <c r="C28" s="20" t="s">
        <v>489</v>
      </c>
      <c r="D28" s="8"/>
      <c r="E28" s="14" t="s">
        <v>261</v>
      </c>
    </row>
    <row r="29" ht="48.0" customHeight="1">
      <c r="A29" s="10" t="s">
        <v>125</v>
      </c>
      <c r="B29" s="14" t="s">
        <v>490</v>
      </c>
      <c r="C29" s="20" t="s">
        <v>491</v>
      </c>
      <c r="D29" s="8"/>
      <c r="E29" s="14" t="s">
        <v>261</v>
      </c>
    </row>
    <row r="30" ht="48.0" customHeight="1">
      <c r="A30" s="10" t="s">
        <v>149</v>
      </c>
      <c r="B30" s="14" t="s">
        <v>492</v>
      </c>
      <c r="C30" s="20" t="s">
        <v>493</v>
      </c>
      <c r="D30" s="8"/>
      <c r="E30" s="14" t="s">
        <v>261</v>
      </c>
    </row>
    <row r="31" ht="48.0" customHeight="1">
      <c r="A31" s="10" t="s">
        <v>152</v>
      </c>
      <c r="B31" s="14" t="s">
        <v>494</v>
      </c>
      <c r="C31" s="20" t="s">
        <v>495</v>
      </c>
      <c r="D31" s="8"/>
      <c r="E31" s="14" t="s">
        <v>269</v>
      </c>
    </row>
    <row r="32" ht="48.0" customHeight="1">
      <c r="A32" s="10" t="s">
        <v>155</v>
      </c>
      <c r="B32" s="14" t="s">
        <v>498</v>
      </c>
      <c r="C32" s="20" t="s">
        <v>499</v>
      </c>
      <c r="D32" s="8"/>
      <c r="E32" s="14" t="s">
        <v>269</v>
      </c>
    </row>
    <row r="33" ht="18.0" customHeight="1">
      <c r="B33" s="9" t="s">
        <v>503</v>
      </c>
      <c r="C33" s="23">
        <f>COUNTIF(E25:E32,"Đại diện")</f>
        <v>3</v>
      </c>
    </row>
    <row r="34" ht="18.0" customHeight="1">
      <c r="B34" s="9" t="s">
        <v>509</v>
      </c>
      <c r="C34" s="23">
        <f>COUNTIF(E25:E32,"Thử thách")</f>
        <v>3</v>
      </c>
    </row>
    <row r="35" ht="18.0" customHeight="1">
      <c r="B35" s="9" t="s">
        <v>516</v>
      </c>
      <c r="C35" s="23">
        <f>COUNTIF(E25:E32,"Hồi quy nghiêm trọng")</f>
        <v>2</v>
      </c>
    </row>
    <row r="36" ht="18.0" customHeight="1">
      <c r="B36" s="9" t="s">
        <v>31</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7" ht="15.75" customHeight="1"/>
    <row r="38" ht="18.0" customHeight="1">
      <c r="A38" s="21" t="s">
        <v>537</v>
      </c>
    </row>
    <row r="39" ht="18.0" customHeight="1">
      <c r="A39" s="3" t="s">
        <v>538</v>
      </c>
    </row>
    <row r="40" ht="18.0" customHeight="1">
      <c r="A40" s="6" t="s">
        <v>278</v>
      </c>
      <c r="B40" s="7" t="s">
        <v>279</v>
      </c>
      <c r="C40" s="19"/>
      <c r="D40" s="19"/>
      <c r="E40" s="19"/>
      <c r="F40" s="19"/>
      <c r="G40" s="8"/>
    </row>
    <row r="41" ht="18.0" customHeight="1">
      <c r="A41" s="9" t="s">
        <v>539</v>
      </c>
      <c r="B41" s="11" t="s">
        <v>540</v>
      </c>
      <c r="C41" s="19"/>
      <c r="D41" s="19"/>
      <c r="E41" s="19"/>
      <c r="F41" s="19"/>
      <c r="G41" s="8"/>
    </row>
    <row r="42" ht="18.0" customHeight="1">
      <c r="A42" s="9"/>
      <c r="B42" s="11" t="s">
        <v>298</v>
      </c>
      <c r="C42" s="19"/>
      <c r="D42" s="19"/>
      <c r="E42" s="19"/>
      <c r="F42" s="19"/>
      <c r="G42" s="8"/>
    </row>
    <row r="43" ht="18.0" customHeight="1">
      <c r="A43" s="9"/>
      <c r="B43" s="11" t="s">
        <v>541</v>
      </c>
      <c r="C43" s="19"/>
      <c r="D43" s="19"/>
      <c r="E43" s="19"/>
      <c r="F43" s="19"/>
      <c r="G43" s="8"/>
    </row>
    <row r="44" ht="18.0" customHeight="1">
      <c r="A44" s="9"/>
      <c r="B44" s="11" t="s">
        <v>542</v>
      </c>
      <c r="C44" s="19"/>
      <c r="D44" s="19"/>
      <c r="E44" s="19"/>
      <c r="F44" s="19"/>
      <c r="G44" s="8"/>
    </row>
    <row r="45" ht="18.0" customHeight="1">
      <c r="A45" s="9" t="s">
        <v>543</v>
      </c>
      <c r="B45" s="11" t="s">
        <v>544</v>
      </c>
      <c r="C45" s="19"/>
      <c r="D45" s="19"/>
      <c r="E45" s="19"/>
      <c r="F45" s="19"/>
      <c r="G45" s="8"/>
    </row>
    <row r="46" ht="18.0" customHeight="1">
      <c r="A46" s="9"/>
      <c r="B46" s="11" t="s">
        <v>288</v>
      </c>
      <c r="C46" s="19"/>
      <c r="D46" s="19"/>
      <c r="E46" s="19"/>
      <c r="F46" s="19"/>
      <c r="G46" s="8"/>
    </row>
    <row r="47" ht="18.0" customHeight="1">
      <c r="A47" s="9"/>
      <c r="B47" s="11" t="s">
        <v>545</v>
      </c>
      <c r="C47" s="19"/>
      <c r="D47" s="19"/>
      <c r="E47" s="19"/>
      <c r="F47" s="19"/>
      <c r="G47" s="8"/>
    </row>
    <row r="48" ht="18.0" customHeight="1">
      <c r="A48" s="9"/>
      <c r="B48" s="11" t="s">
        <v>546</v>
      </c>
      <c r="C48" s="19"/>
      <c r="D48" s="19"/>
      <c r="E48" s="19"/>
      <c r="F48" s="19"/>
      <c r="G48" s="8"/>
    </row>
    <row r="49" ht="18.0" customHeight="1">
      <c r="A49" s="9"/>
      <c r="B49" s="11" t="s">
        <v>547</v>
      </c>
      <c r="C49" s="19"/>
      <c r="D49" s="19"/>
      <c r="E49" s="19"/>
      <c r="F49" s="19"/>
      <c r="G49" s="8"/>
    </row>
    <row r="50" ht="18.0" customHeight="1">
      <c r="A50" s="9" t="s">
        <v>548</v>
      </c>
      <c r="B50" s="11" t="s">
        <v>549</v>
      </c>
      <c r="C50" s="19"/>
      <c r="D50" s="19"/>
      <c r="E50" s="19"/>
      <c r="F50" s="19"/>
      <c r="G50" s="8"/>
    </row>
    <row r="51" ht="18.0" customHeight="1">
      <c r="A51" s="9"/>
      <c r="B51" s="11" t="s">
        <v>293</v>
      </c>
      <c r="C51" s="19"/>
      <c r="D51" s="19"/>
      <c r="E51" s="19"/>
      <c r="F51" s="19"/>
      <c r="G51" s="8"/>
    </row>
    <row r="52" ht="18.0" customHeight="1">
      <c r="A52" s="9"/>
      <c r="B52" s="11" t="s">
        <v>550</v>
      </c>
      <c r="C52" s="19"/>
      <c r="D52" s="19"/>
      <c r="E52" s="19"/>
      <c r="F52" s="19"/>
      <c r="G52" s="8"/>
    </row>
    <row r="53" ht="18.0" customHeight="1">
      <c r="A53" s="9"/>
      <c r="B53" s="11" t="s">
        <v>551</v>
      </c>
      <c r="C53" s="19"/>
      <c r="D53" s="19"/>
      <c r="E53" s="19"/>
      <c r="F53" s="19"/>
      <c r="G53" s="8"/>
    </row>
    <row r="54" ht="15.75" customHeight="1"/>
    <row r="55" ht="18.0" customHeight="1">
      <c r="A55" s="6" t="s">
        <v>278</v>
      </c>
      <c r="B55" s="6" t="s">
        <v>552</v>
      </c>
      <c r="C55" s="6" t="s">
        <v>553</v>
      </c>
      <c r="D55" s="7" t="s">
        <v>554</v>
      </c>
      <c r="E55" s="8"/>
      <c r="F55" s="6" t="s">
        <v>555</v>
      </c>
      <c r="G55" s="6" t="s">
        <v>556</v>
      </c>
    </row>
    <row r="56" ht="61.5" customHeight="1">
      <c r="A56" s="9" t="s">
        <v>539</v>
      </c>
      <c r="B56" s="15">
        <v>3.0</v>
      </c>
      <c r="C56" s="14" t="s">
        <v>113</v>
      </c>
      <c r="D56" s="20" t="s">
        <v>557</v>
      </c>
      <c r="E56" s="8"/>
      <c r="F56" s="16" t="str">
        <f>IF(B56="","",IF(B56=3,"Đúng","Chưa đúng"))</f>
        <v>Đúng</v>
      </c>
      <c r="G56" s="16" t="str">
        <f>IF(C56="","",IF(C56="missing_lookup","Đúng","Chưa đúng"))</f>
        <v>Đúng</v>
      </c>
    </row>
    <row r="57" ht="61.5" customHeight="1">
      <c r="A57" s="9" t="s">
        <v>543</v>
      </c>
      <c r="B57" s="15">
        <v>2.0</v>
      </c>
      <c r="C57" s="14" t="s">
        <v>111</v>
      </c>
      <c r="D57" s="20" t="s">
        <v>558</v>
      </c>
      <c r="E57" s="8"/>
      <c r="F57" s="16" t="str">
        <f>IF(B57="","",IF(B57=2,"Đúng","Chưa đúng"))</f>
        <v>Đúng</v>
      </c>
      <c r="G57" s="16" t="str">
        <f>IF(C57="","",IF(C57="wrong_intent","Đúng","Chưa đúng"))</f>
        <v>Đúng</v>
      </c>
    </row>
    <row r="58" ht="61.5" customHeight="1">
      <c r="A58" s="9" t="s">
        <v>548</v>
      </c>
      <c r="B58" s="15">
        <v>4.0</v>
      </c>
      <c r="C58" s="14" t="s">
        <v>121</v>
      </c>
      <c r="D58" s="20" t="s">
        <v>559</v>
      </c>
      <c r="E58" s="8"/>
      <c r="F58" s="16" t="str">
        <f>IF(B58="","",IF(B58=4,"Đúng","Chưa đúng"))</f>
        <v>Đúng</v>
      </c>
      <c r="G58" s="16" t="str">
        <f>IF(C58="","",IF(C58="missing_escalation","Đúng","Chưa đúng"))</f>
        <v>Đúng</v>
      </c>
    </row>
    <row r="59" ht="15.75" customHeight="1"/>
    <row r="60" ht="18.0" customHeight="1">
      <c r="A60" s="21" t="s">
        <v>560</v>
      </c>
    </row>
    <row r="61" ht="18.0" customHeight="1">
      <c r="A61" s="3" t="s">
        <v>562</v>
      </c>
    </row>
    <row r="62" ht="18.0" customHeight="1">
      <c r="A62" s="6" t="s">
        <v>428</v>
      </c>
      <c r="B62" s="6" t="s">
        <v>564</v>
      </c>
      <c r="C62" s="6" t="s">
        <v>565</v>
      </c>
      <c r="D62" s="6" t="s">
        <v>566</v>
      </c>
      <c r="E62" s="6" t="s">
        <v>568</v>
      </c>
      <c r="F62" s="6" t="s">
        <v>569</v>
      </c>
      <c r="G62" s="6" t="s">
        <v>570</v>
      </c>
    </row>
    <row r="63" ht="78.0" customHeight="1">
      <c r="A63" s="9" t="s">
        <v>571</v>
      </c>
      <c r="B63" s="14" t="s">
        <v>56</v>
      </c>
      <c r="C63" s="14" t="s">
        <v>572</v>
      </c>
      <c r="D63" s="14" t="s">
        <v>573</v>
      </c>
      <c r="E63" s="14" t="s">
        <v>574</v>
      </c>
      <c r="F63" s="14" t="s">
        <v>353</v>
      </c>
      <c r="G63" s="14" t="s">
        <v>575</v>
      </c>
    </row>
    <row r="64" ht="78.0" customHeight="1">
      <c r="A64" s="9" t="s">
        <v>576</v>
      </c>
      <c r="B64" s="14" t="s">
        <v>577</v>
      </c>
      <c r="C64" s="14" t="s">
        <v>578</v>
      </c>
      <c r="D64" s="14" t="s">
        <v>579</v>
      </c>
      <c r="E64" s="14" t="s">
        <v>580</v>
      </c>
      <c r="F64" s="14" t="s">
        <v>353</v>
      </c>
      <c r="G64" s="14" t="s">
        <v>581</v>
      </c>
    </row>
    <row r="65" ht="78.0" customHeight="1">
      <c r="A65" s="9" t="s">
        <v>582</v>
      </c>
      <c r="B65" s="14" t="s">
        <v>583</v>
      </c>
      <c r="C65" s="14" t="s">
        <v>584</v>
      </c>
      <c r="D65" s="14" t="s">
        <v>585</v>
      </c>
      <c r="E65" s="14" t="s">
        <v>586</v>
      </c>
      <c r="F65" s="14" t="s">
        <v>587</v>
      </c>
      <c r="G65" s="14" t="s">
        <v>316</v>
      </c>
    </row>
    <row r="66" ht="78.0" customHeight="1">
      <c r="A66" s="9" t="s">
        <v>588</v>
      </c>
      <c r="B66" s="14" t="s">
        <v>589</v>
      </c>
      <c r="C66" s="14" t="s">
        <v>590</v>
      </c>
      <c r="D66" s="14" t="s">
        <v>591</v>
      </c>
      <c r="E66" s="14" t="s">
        <v>592</v>
      </c>
      <c r="F66" s="14" t="s">
        <v>366</v>
      </c>
      <c r="G66" s="14" t="s">
        <v>593</v>
      </c>
    </row>
    <row r="67" ht="33.0" customHeight="1">
      <c r="B67" s="9" t="s">
        <v>31</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13" t="s">
        <v>601</v>
      </c>
    </row>
    <row r="68" ht="15.75" customHeight="1"/>
    <row r="69" ht="18.0" customHeight="1">
      <c r="A69" s="21" t="s">
        <v>602</v>
      </c>
    </row>
    <row r="70" ht="18.0" customHeight="1">
      <c r="A70" s="3" t="s">
        <v>604</v>
      </c>
    </row>
    <row r="71" ht="18.0" customHeight="1">
      <c r="A71" s="6" t="s">
        <v>362</v>
      </c>
      <c r="B71" s="6" t="s">
        <v>606</v>
      </c>
      <c r="C71" s="6" t="s">
        <v>366</v>
      </c>
      <c r="D71" s="7" t="s">
        <v>608</v>
      </c>
      <c r="E71" s="8"/>
      <c r="F71" s="6" t="s">
        <v>612</v>
      </c>
      <c r="G71" s="6" t="s">
        <v>31</v>
      </c>
    </row>
    <row r="72" ht="31.5" customHeight="1">
      <c r="A72" s="10" t="s">
        <v>79</v>
      </c>
      <c r="B72" s="10" t="s">
        <v>369</v>
      </c>
      <c r="C72" s="10" t="s">
        <v>369</v>
      </c>
      <c r="D72" s="11" t="s">
        <v>616</v>
      </c>
      <c r="E72" s="8"/>
      <c r="F72" s="15">
        <v>12.0</v>
      </c>
      <c r="G72" s="16" t="str">
        <f>IF(F72="","",IF(F72=12,"Đúng","Chưa đúng"))</f>
        <v>Đúng</v>
      </c>
    </row>
    <row r="73" ht="31.5" customHeight="1">
      <c r="A73" s="10" t="s">
        <v>84</v>
      </c>
      <c r="B73" s="10" t="s">
        <v>369</v>
      </c>
      <c r="C73" s="10" t="s">
        <v>373</v>
      </c>
      <c r="D73" s="11" t="s">
        <v>621</v>
      </c>
      <c r="E73" s="8"/>
      <c r="F73" s="15">
        <v>2.0</v>
      </c>
      <c r="G73" s="16" t="str">
        <f>IF(F73="","",IF(F73=2,"Đúng","Chưa đúng"))</f>
        <v>Đúng</v>
      </c>
    </row>
    <row r="74" ht="31.5" customHeight="1">
      <c r="A74" s="10" t="s">
        <v>93</v>
      </c>
      <c r="B74" s="10" t="s">
        <v>369</v>
      </c>
      <c r="C74" s="10" t="s">
        <v>369</v>
      </c>
      <c r="D74" s="11" t="s">
        <v>623</v>
      </c>
      <c r="E74" s="8"/>
      <c r="F74" s="15">
        <v>0.0</v>
      </c>
      <c r="G74" s="16" t="str">
        <f>IF(F74="","",IF(F74=0,"Đúng","Chưa đúng"))</f>
        <v>Đúng</v>
      </c>
    </row>
    <row r="75" ht="31.5" customHeight="1">
      <c r="A75" s="10" t="s">
        <v>119</v>
      </c>
      <c r="B75" s="10" t="s">
        <v>373</v>
      </c>
      <c r="C75" s="10" t="s">
        <v>373</v>
      </c>
      <c r="D75" s="11" t="s">
        <v>624</v>
      </c>
      <c r="E75" s="8"/>
      <c r="F75" s="15">
        <v>6.0</v>
      </c>
      <c r="G75" s="16" t="str">
        <f>IF(F75="","",IF(F75=6,"Đúng","Chưa đúng"))</f>
        <v>Đúng</v>
      </c>
    </row>
    <row r="76" ht="18.0" customHeight="1">
      <c r="A76" s="10" t="s">
        <v>125</v>
      </c>
      <c r="B76" s="10" t="s">
        <v>369</v>
      </c>
      <c r="C76" s="10" t="s">
        <v>369</v>
      </c>
      <c r="D76" s="12" t="s">
        <v>625</v>
      </c>
      <c r="E76" s="8"/>
      <c r="F76" s="31">
        <f>IF(OR(F72="",F73=""),"",F72/(F72+F73))</f>
        <v>0.8571428571</v>
      </c>
      <c r="G76" s="16" t="str">
        <f t="shared" ref="G76:G77" si="1">IF(F76="","",IF(F76&gt;=0.9,"Đạt ngưỡng","Dưới ngưỡng"))</f>
        <v>Dưới ngưỡng</v>
      </c>
    </row>
    <row r="77" ht="18.0" customHeight="1">
      <c r="A77" s="10" t="s">
        <v>149</v>
      </c>
      <c r="B77" s="10" t="s">
        <v>369</v>
      </c>
      <c r="C77" s="10" t="s">
        <v>369</v>
      </c>
      <c r="D77" s="12" t="s">
        <v>626</v>
      </c>
      <c r="E77" s="8"/>
      <c r="F77" s="31">
        <f>IF(OR(F74="",F75=""),"",F75/(F74+F75))</f>
        <v>1</v>
      </c>
      <c r="G77" s="16" t="str">
        <f t="shared" si="1"/>
        <v>Đạt ngưỡng</v>
      </c>
    </row>
    <row r="78" ht="18.0" customHeight="1">
      <c r="A78" s="10" t="s">
        <v>152</v>
      </c>
      <c r="B78" s="10" t="s">
        <v>373</v>
      </c>
      <c r="C78" s="10" t="s">
        <v>373</v>
      </c>
      <c r="D78" s="11" t="s">
        <v>627</v>
      </c>
      <c r="E78" s="8"/>
      <c r="F78" s="32">
        <v>0.9</v>
      </c>
    </row>
    <row r="79" ht="18.0" customHeight="1">
      <c r="A79" s="10" t="s">
        <v>155</v>
      </c>
      <c r="B79" s="10" t="s">
        <v>369</v>
      </c>
      <c r="C79" s="10" t="s">
        <v>369</v>
      </c>
      <c r="D79" s="11" t="s">
        <v>628</v>
      </c>
      <c r="E79" s="8"/>
      <c r="F79" s="23">
        <f>SUM(F72:F75)</f>
        <v>20</v>
      </c>
    </row>
    <row r="80" ht="18.0" customHeight="1">
      <c r="A80" s="10" t="s">
        <v>158</v>
      </c>
      <c r="B80" s="10" t="s">
        <v>369</v>
      </c>
      <c r="C80" s="10" t="s">
        <v>369</v>
      </c>
    </row>
    <row r="81" ht="31.5" customHeight="1">
      <c r="A81" s="10" t="s">
        <v>162</v>
      </c>
      <c r="B81" s="10" t="s">
        <v>369</v>
      </c>
      <c r="C81" s="10" t="s">
        <v>373</v>
      </c>
      <c r="D81" s="11" t="s">
        <v>629</v>
      </c>
      <c r="E81" s="19"/>
      <c r="F81" s="19"/>
      <c r="G81" s="8"/>
    </row>
    <row r="82" ht="33.0" customHeight="1">
      <c r="A82" s="10" t="s">
        <v>166</v>
      </c>
      <c r="B82" s="10" t="s">
        <v>369</v>
      </c>
      <c r="C82" s="10" t="s">
        <v>369</v>
      </c>
      <c r="D82" s="11" t="s">
        <v>630</v>
      </c>
      <c r="E82" s="19"/>
      <c r="F82" s="19"/>
      <c r="G82" s="8"/>
    </row>
    <row r="83" ht="31.5" customHeight="1">
      <c r="A83" s="10" t="s">
        <v>170</v>
      </c>
      <c r="B83" s="10" t="s">
        <v>373</v>
      </c>
      <c r="C83" s="10" t="s">
        <v>373</v>
      </c>
      <c r="D83" s="11" t="s">
        <v>631</v>
      </c>
      <c r="E83" s="19"/>
      <c r="F83" s="19"/>
      <c r="G83" s="8"/>
    </row>
    <row r="84" ht="18.0" customHeight="1">
      <c r="A84" s="10" t="s">
        <v>174</v>
      </c>
      <c r="B84" s="10" t="s">
        <v>369</v>
      </c>
      <c r="C84" s="10" t="s">
        <v>369</v>
      </c>
      <c r="D84" s="12" t="s">
        <v>632</v>
      </c>
      <c r="E84" s="8"/>
      <c r="F84" s="14" t="s">
        <v>249</v>
      </c>
      <c r="G84" s="16" t="str">
        <f>IF(F84="","",IF(F84="B","Đúng","Chưa đúng"))</f>
        <v>Đúng</v>
      </c>
    </row>
    <row r="85" ht="18.0" customHeight="1">
      <c r="A85" s="10" t="s">
        <v>179</v>
      </c>
      <c r="B85" s="10" t="s">
        <v>369</v>
      </c>
      <c r="C85" s="10" t="s">
        <v>369</v>
      </c>
    </row>
    <row r="86" ht="18.0" customHeight="1">
      <c r="A86" s="10" t="s">
        <v>184</v>
      </c>
      <c r="B86" s="10" t="s">
        <v>373</v>
      </c>
      <c r="C86" s="10" t="s">
        <v>373</v>
      </c>
    </row>
    <row r="87" ht="18.0" customHeight="1">
      <c r="A87" s="10" t="s">
        <v>188</v>
      </c>
      <c r="B87" s="10" t="s">
        <v>369</v>
      </c>
      <c r="C87" s="10" t="s">
        <v>369</v>
      </c>
    </row>
    <row r="88" ht="18.0" customHeight="1">
      <c r="A88" s="10" t="s">
        <v>192</v>
      </c>
      <c r="B88" s="10" t="s">
        <v>373</v>
      </c>
      <c r="C88" s="10" t="s">
        <v>373</v>
      </c>
    </row>
    <row r="89" ht="18.0" customHeight="1">
      <c r="A89" s="10" t="s">
        <v>196</v>
      </c>
      <c r="B89" s="10" t="s">
        <v>369</v>
      </c>
      <c r="C89" s="10" t="s">
        <v>369</v>
      </c>
    </row>
    <row r="90" ht="18.0" customHeight="1">
      <c r="A90" s="10" t="s">
        <v>200</v>
      </c>
      <c r="B90" s="10" t="s">
        <v>373</v>
      </c>
      <c r="C90" s="10" t="s">
        <v>373</v>
      </c>
    </row>
    <row r="91" ht="18.0" customHeight="1">
      <c r="A91" s="10" t="s">
        <v>203</v>
      </c>
      <c r="B91" s="10" t="s">
        <v>369</v>
      </c>
      <c r="C91" s="10" t="s">
        <v>369</v>
      </c>
    </row>
    <row r="92" ht="15.75" customHeight="1"/>
    <row r="93" ht="15.75" customHeight="1"/>
    <row r="94" ht="18.0" customHeight="1">
      <c r="A94" s="21" t="s">
        <v>633</v>
      </c>
    </row>
    <row r="95" ht="18.0" customHeight="1">
      <c r="A95" s="3" t="s">
        <v>634</v>
      </c>
    </row>
    <row r="96" ht="18.0" customHeight="1">
      <c r="A96" s="7" t="s">
        <v>308</v>
      </c>
      <c r="B96" s="8"/>
      <c r="C96" s="6" t="s">
        <v>569</v>
      </c>
      <c r="D96" s="6" t="s">
        <v>570</v>
      </c>
      <c r="E96" s="6" t="s">
        <v>310</v>
      </c>
      <c r="F96" s="6" t="s">
        <v>312</v>
      </c>
    </row>
    <row r="97" ht="18.0" customHeight="1">
      <c r="A97" s="11" t="s">
        <v>315</v>
      </c>
      <c r="B97" s="8"/>
      <c r="C97" s="10" t="s">
        <v>353</v>
      </c>
      <c r="D97" s="10" t="s">
        <v>316</v>
      </c>
      <c r="E97" s="10" t="s">
        <v>317</v>
      </c>
      <c r="F97" s="10" t="s">
        <v>635</v>
      </c>
    </row>
    <row r="98" ht="18.0" customHeight="1">
      <c r="A98" s="11" t="s">
        <v>577</v>
      </c>
      <c r="B98" s="8"/>
      <c r="C98" s="10" t="s">
        <v>353</v>
      </c>
      <c r="D98" s="10" t="s">
        <v>636</v>
      </c>
      <c r="E98" s="10" t="s">
        <v>636</v>
      </c>
      <c r="F98" s="10" t="s">
        <v>636</v>
      </c>
    </row>
    <row r="99" ht="18.0" customHeight="1">
      <c r="A99" s="11" t="s">
        <v>56</v>
      </c>
      <c r="B99" s="8"/>
      <c r="C99" s="10" t="s">
        <v>353</v>
      </c>
      <c r="D99" s="10" t="s">
        <v>575</v>
      </c>
      <c r="E99" s="10" t="s">
        <v>637</v>
      </c>
      <c r="F99" s="10" t="s">
        <v>638</v>
      </c>
    </row>
    <row r="100" ht="18.0" customHeight="1">
      <c r="A100" s="11" t="s">
        <v>325</v>
      </c>
      <c r="B100" s="8"/>
      <c r="C100" s="10" t="s">
        <v>639</v>
      </c>
      <c r="D100" s="10" t="s">
        <v>640</v>
      </c>
      <c r="E100" s="10" t="s">
        <v>327</v>
      </c>
      <c r="F100" s="10" t="s">
        <v>641</v>
      </c>
    </row>
    <row r="101" ht="18.0" customHeight="1">
      <c r="A101" s="11" t="s">
        <v>642</v>
      </c>
      <c r="B101" s="8"/>
      <c r="C101" s="10" t="s">
        <v>643</v>
      </c>
      <c r="D101" s="10" t="s">
        <v>316</v>
      </c>
      <c r="E101" s="10" t="s">
        <v>644</v>
      </c>
      <c r="F101" s="10" t="s">
        <v>637</v>
      </c>
    </row>
    <row r="102" ht="18.0" customHeight="1">
      <c r="A102" s="11" t="s">
        <v>321</v>
      </c>
      <c r="B102" s="8"/>
      <c r="C102" s="10" t="s">
        <v>353</v>
      </c>
      <c r="D102" s="10" t="s">
        <v>322</v>
      </c>
      <c r="E102" s="10" t="s">
        <v>323</v>
      </c>
      <c r="F102" s="10" t="s">
        <v>645</v>
      </c>
    </row>
    <row r="103" ht="18.0" customHeight="1">
      <c r="A103" s="13" t="s">
        <v>646</v>
      </c>
    </row>
    <row r="104" ht="15.75" customHeight="1"/>
    <row r="105" ht="18.0" customHeight="1">
      <c r="A105" s="12" t="s">
        <v>647</v>
      </c>
      <c r="B105" s="8"/>
      <c r="C105" s="14" t="s">
        <v>600</v>
      </c>
      <c r="D105" s="16" t="str">
        <f>IF(C105="","",IF(C105="Phát hành","Đúng","Chưa đúng"))</f>
        <v>Đúng</v>
      </c>
    </row>
    <row r="106" ht="105.0" customHeight="1">
      <c r="A106" s="12" t="s">
        <v>648</v>
      </c>
      <c r="B106" s="8"/>
      <c r="C106" s="20" t="s">
        <v>649</v>
      </c>
      <c r="D106" s="19"/>
      <c r="E106" s="19"/>
      <c r="F106" s="19"/>
      <c r="G106" s="8"/>
    </row>
    <row r="107" ht="18.0" customHeight="1">
      <c r="C107" s="13" t="s">
        <v>650</v>
      </c>
    </row>
    <row r="108" ht="15.75" customHeight="1"/>
    <row r="109" ht="18.0" customHeight="1">
      <c r="A109" s="3" t="s">
        <v>651</v>
      </c>
    </row>
    <row r="110" ht="18.0" customHeight="1">
      <c r="A110" s="12" t="s">
        <v>652</v>
      </c>
      <c r="B110" s="8"/>
      <c r="C110" s="17">
        <v>0.75</v>
      </c>
      <c r="D110" s="16" t="str">
        <f>IF(C110="","",IF(ISNUMBER(C110),IF(OR(ABS(C110-0.75)&lt;=0.006,ABS(C110-75)&lt;=0.6),"Đúng","Chưa đúng"),"Gõ một số"))</f>
        <v>Đúng</v>
      </c>
    </row>
    <row r="111" ht="18.0" customHeight="1">
      <c r="A111" s="12" t="s">
        <v>653</v>
      </c>
      <c r="B111" s="8"/>
      <c r="C111" s="15">
        <v>50.0</v>
      </c>
      <c r="D111" s="16" t="str">
        <f>IF(C111="","",IF(ISNUMBER(C111),IF(ABS(C111-50)&lt;=0.01,"Đúng","Chưa đúng"),"Gõ một số"))</f>
        <v>Đúng</v>
      </c>
    </row>
    <row r="112" ht="33.0" customHeight="1">
      <c r="A112" s="12" t="s">
        <v>654</v>
      </c>
      <c r="B112" s="8"/>
      <c r="C112" s="17">
        <v>0.84</v>
      </c>
      <c r="D112" s="16" t="str">
        <f>IF(C112="","",IF(ISNUMBER(C112),IF(OR(ABS(C112-0.84)&lt;=0.006,ABS(C112-84)&lt;=0.6),"Đúng","Chưa đúng"),"Gõ một số"))</f>
        <v>Đúng</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9:E79"/>
    <mergeCell ref="D81:G81"/>
    <mergeCell ref="D82:G82"/>
    <mergeCell ref="D83:G83"/>
    <mergeCell ref="D84:E84"/>
    <mergeCell ref="A94:G94"/>
    <mergeCell ref="A95:G95"/>
    <mergeCell ref="A102:B102"/>
    <mergeCell ref="A105:B105"/>
    <mergeCell ref="A106:B106"/>
    <mergeCell ref="C106:G106"/>
    <mergeCell ref="C107:G107"/>
    <mergeCell ref="A109:G109"/>
    <mergeCell ref="A110:B110"/>
    <mergeCell ref="A111:B111"/>
    <mergeCell ref="A112:B112"/>
    <mergeCell ref="A96:B96"/>
    <mergeCell ref="A97:B97"/>
    <mergeCell ref="A98:B98"/>
    <mergeCell ref="A99:B99"/>
    <mergeCell ref="A100:B100"/>
    <mergeCell ref="A101:B101"/>
    <mergeCell ref="A103:G103"/>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D72:E72"/>
    <mergeCell ref="D73:E73"/>
    <mergeCell ref="D74:E74"/>
    <mergeCell ref="D75:E75"/>
    <mergeCell ref="D76:E76"/>
    <mergeCell ref="D77:E77"/>
    <mergeCell ref="D78:E78"/>
  </mergeCells>
  <dataValidations>
    <dataValidation type="list" allowBlank="1" sqref="F63:F66">
      <formula1>'_ds'!$N$1:$N$4</formula1>
    </dataValidation>
    <dataValidation type="list" allowBlank="1" sqref="F84">
      <formula1>'_ds'!$B$1:$B$3</formula1>
    </dataValidation>
    <dataValidation type="list" allowBlank="1" sqref="C56:C58">
      <formula1>'_ds'!$F$1:$F$5</formula1>
    </dataValidation>
    <dataValidation type="list" allowBlank="1" sqref="C105">
      <formula1>'_ds'!$J$1:$J$3</formula1>
    </dataValidation>
    <dataValidation type="list" allowBlank="1" sqref="E25:E32">
      <formula1>'_ds'!$E$1:$E$3</formula1>
    </dataValidation>
  </dataValidations>
  <printOptions/>
  <pageMargins bottom="1.0" footer="0.0" header="0.0" left="0.75" right="0.75" top="1.0"/>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0"/>
    <col customWidth="1" min="2" max="2" width="9.0"/>
    <col customWidth="1" min="3" max="3" width="44.0"/>
    <col customWidth="1" min="4" max="4" width="38.0"/>
    <col customWidth="1" min="5" max="5" width="34.0"/>
    <col customWidth="1" min="6" max="6" width="12.0"/>
    <col customWidth="1" min="7" max="26" width="8.71"/>
  </cols>
  <sheetData>
    <row r="1">
      <c r="A1" s="1" t="s">
        <v>496</v>
      </c>
    </row>
    <row r="2" ht="18.0" customHeight="1">
      <c r="A2" s="2" t="s">
        <v>497</v>
      </c>
    </row>
    <row r="4" ht="18.0" customHeight="1">
      <c r="A4" s="6" t="s">
        <v>500</v>
      </c>
      <c r="B4" s="6" t="s">
        <v>501</v>
      </c>
      <c r="C4" s="6" t="s">
        <v>502</v>
      </c>
      <c r="D4" s="6" t="s">
        <v>504</v>
      </c>
      <c r="E4" s="6" t="s">
        <v>505</v>
      </c>
      <c r="F4" s="6" t="s">
        <v>506</v>
      </c>
    </row>
    <row r="5" ht="33.0" customHeight="1">
      <c r="A5" s="9" t="s">
        <v>507</v>
      </c>
      <c r="B5" s="25">
        <v>1.0</v>
      </c>
      <c r="C5" s="10" t="s">
        <v>508</v>
      </c>
      <c r="D5" s="10" t="s">
        <v>510</v>
      </c>
      <c r="E5" s="10" t="s">
        <v>511</v>
      </c>
      <c r="F5" s="26"/>
    </row>
    <row r="6" ht="33.0" customHeight="1">
      <c r="A6" s="9" t="s">
        <v>512</v>
      </c>
      <c r="B6" s="25">
        <v>1.0</v>
      </c>
      <c r="C6" s="10" t="s">
        <v>513</v>
      </c>
      <c r="D6" s="10" t="s">
        <v>514</v>
      </c>
      <c r="E6" s="10" t="s">
        <v>515</v>
      </c>
      <c r="F6" s="26"/>
    </row>
    <row r="7" ht="33.0" customHeight="1">
      <c r="A7" s="9" t="s">
        <v>517</v>
      </c>
      <c r="B7" s="25">
        <v>2.0</v>
      </c>
      <c r="C7" s="10" t="s">
        <v>518</v>
      </c>
      <c r="D7" s="10" t="s">
        <v>519</v>
      </c>
      <c r="E7" s="10" t="s">
        <v>520</v>
      </c>
      <c r="F7" s="26"/>
    </row>
    <row r="8" ht="33.0" customHeight="1">
      <c r="A8" s="9" t="s">
        <v>521</v>
      </c>
      <c r="B8" s="25">
        <v>1.5</v>
      </c>
      <c r="C8" s="10" t="s">
        <v>522</v>
      </c>
      <c r="D8" s="10" t="s">
        <v>523</v>
      </c>
      <c r="E8" s="10" t="s">
        <v>524</v>
      </c>
      <c r="F8" s="26"/>
    </row>
    <row r="9" ht="48.0" customHeight="1">
      <c r="A9" s="9" t="s">
        <v>525</v>
      </c>
      <c r="B9" s="25">
        <v>2.0</v>
      </c>
      <c r="C9" s="10" t="s">
        <v>526</v>
      </c>
      <c r="D9" s="10" t="s">
        <v>527</v>
      </c>
      <c r="E9" s="10" t="s">
        <v>528</v>
      </c>
      <c r="F9" s="26"/>
    </row>
    <row r="10" ht="33.0" customHeight="1">
      <c r="A10" s="9" t="s">
        <v>529</v>
      </c>
      <c r="B10" s="25">
        <v>1.0</v>
      </c>
      <c r="C10" s="10" t="s">
        <v>530</v>
      </c>
      <c r="D10" s="10" t="s">
        <v>531</v>
      </c>
      <c r="E10" s="10" t="s">
        <v>532</v>
      </c>
      <c r="F10" s="26"/>
    </row>
    <row r="11" ht="48.0" customHeight="1">
      <c r="A11" s="9" t="s">
        <v>533</v>
      </c>
      <c r="B11" s="25">
        <v>1.5</v>
      </c>
      <c r="C11" s="10" t="s">
        <v>534</v>
      </c>
      <c r="D11" s="10" t="s">
        <v>535</v>
      </c>
      <c r="E11" s="10" t="s">
        <v>536</v>
      </c>
      <c r="F11" s="26"/>
    </row>
    <row r="12" ht="18.0" customHeight="1">
      <c r="A12" s="9" t="s">
        <v>80</v>
      </c>
      <c r="B12" s="27">
        <f>SUM(B5:B11)</f>
        <v>10</v>
      </c>
      <c r="F12" s="28" t="str">
        <f>IF(COUNT(F5:F11)=0,"",SUM(F5:F11))</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0"/>
    <col customWidth="1" min="2" max="2" width="52.0"/>
    <col customWidth="1" min="3" max="3" width="14.0"/>
    <col customWidth="1" min="4" max="4" width="12.0"/>
    <col customWidth="1" min="5" max="26" width="8.71"/>
  </cols>
  <sheetData>
    <row r="1">
      <c r="A1" s="1" t="s">
        <v>561</v>
      </c>
    </row>
    <row r="3" ht="18.0" customHeight="1">
      <c r="A3" s="6" t="s">
        <v>563</v>
      </c>
      <c r="B3" s="6" t="s">
        <v>26</v>
      </c>
      <c r="C3" s="6" t="s">
        <v>270</v>
      </c>
      <c r="D3" s="6" t="s">
        <v>567</v>
      </c>
    </row>
    <row r="4" ht="18.0" customHeight="1">
      <c r="A4" s="9" t="s">
        <v>73</v>
      </c>
      <c r="B4" s="10" t="s">
        <v>75</v>
      </c>
      <c r="C4" s="23">
        <f>'Bài 1'!C29</f>
        <v>9</v>
      </c>
      <c r="D4" s="29">
        <v>9.0</v>
      </c>
    </row>
    <row r="5" ht="18.0" customHeight="1">
      <c r="A5" s="9" t="s">
        <v>87</v>
      </c>
      <c r="B5" s="10" t="s">
        <v>88</v>
      </c>
      <c r="C5" s="23">
        <f>'Bài 2'!C25</f>
        <v>14</v>
      </c>
      <c r="D5" s="29">
        <v>14.0</v>
      </c>
    </row>
    <row r="6" ht="18.0" customHeight="1">
      <c r="A6" s="9" t="s">
        <v>109</v>
      </c>
      <c r="B6" s="10" t="s">
        <v>110</v>
      </c>
      <c r="C6" s="23">
        <f>'Bài 3'!C39</f>
        <v>9</v>
      </c>
      <c r="D6" s="29">
        <v>9.0</v>
      </c>
    </row>
    <row r="7" ht="18.0" customHeight="1">
      <c r="A7" s="9" t="s">
        <v>126</v>
      </c>
      <c r="B7" s="10" t="s">
        <v>129</v>
      </c>
      <c r="C7" s="23">
        <f>'Bài 4'!C33</f>
        <v>15</v>
      </c>
      <c r="D7" s="29">
        <v>15.0</v>
      </c>
    </row>
    <row r="8" ht="18.0" customHeight="1">
      <c r="A8" s="9" t="s">
        <v>145</v>
      </c>
      <c r="B8" s="10" t="s">
        <v>148</v>
      </c>
      <c r="C8" s="23">
        <f>'Bài 5'!C44</f>
        <v>18</v>
      </c>
      <c r="D8" s="29">
        <v>18.0</v>
      </c>
    </row>
    <row r="10" ht="18.0" customHeight="1">
      <c r="A10" s="21" t="s">
        <v>594</v>
      </c>
    </row>
    <row r="11" ht="18.0" customHeight="1">
      <c r="A11" s="9" t="s">
        <v>507</v>
      </c>
      <c r="B11" s="10" t="s">
        <v>595</v>
      </c>
      <c r="C11" s="16" t="str">
        <f>'Xưởng'!G7</f>
        <v>Đạt</v>
      </c>
    </row>
    <row r="12" ht="18.0" customHeight="1">
      <c r="A12" s="9" t="s">
        <v>512</v>
      </c>
      <c r="B12" s="10" t="s">
        <v>596</v>
      </c>
      <c r="C12" s="16" t="str">
        <f>'Xưởng'!D20</f>
        <v>Đạt</v>
      </c>
    </row>
    <row r="13" ht="18.0" customHeight="1">
      <c r="A13" s="9" t="s">
        <v>517</v>
      </c>
      <c r="B13" s="10" t="s">
        <v>599</v>
      </c>
      <c r="C13" s="16" t="str">
        <f>'Xưởng'!C36</f>
        <v>Đạt</v>
      </c>
    </row>
    <row r="14" ht="18.0" customHeight="1">
      <c r="A14" s="9" t="s">
        <v>521</v>
      </c>
      <c r="B14" s="10" t="s">
        <v>603</v>
      </c>
      <c r="C14" s="23">
        <f>COUNTIF('Xưởng'!F56:G58,"Đúng")</f>
        <v>6</v>
      </c>
      <c r="D14" s="10" t="s">
        <v>615</v>
      </c>
    </row>
    <row r="15" ht="18.0" customHeight="1">
      <c r="A15" s="9" t="s">
        <v>525</v>
      </c>
      <c r="B15" s="10" t="s">
        <v>617</v>
      </c>
      <c r="C15" s="16" t="str">
        <f>'Xưởng'!C67</f>
        <v>Đạt</v>
      </c>
    </row>
    <row r="16" ht="18.0" customHeight="1">
      <c r="A16" s="9" t="s">
        <v>529</v>
      </c>
      <c r="B16" s="10" t="s">
        <v>618</v>
      </c>
      <c r="C16" s="23">
        <f>COUNTIF('Xưởng'!G72:G84,"Đúng")</f>
        <v>5</v>
      </c>
      <c r="D16" s="10" t="s">
        <v>619</v>
      </c>
    </row>
    <row r="17" ht="18.0" customHeight="1">
      <c r="A17" s="9" t="s">
        <v>533</v>
      </c>
      <c r="B17" s="10" t="s">
        <v>620</v>
      </c>
      <c r="C17" s="23">
        <f>COUNTIF('Xưởng'!D105:D112,"Đúng")</f>
        <v>4</v>
      </c>
      <c r="D17" s="10" t="s">
        <v>622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D10"/>
  </mergeCells>
  <printOptions/>
  <pageMargins bottom="1.0" footer="0.0" header="0.0" left="0.75" right="0.75" top="1.0"/>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1">
      <c r="A1" s="30" t="s">
        <v>204</v>
      </c>
      <c r="B1" s="30" t="s">
        <v>368</v>
      </c>
      <c r="C1" s="30" t="s">
        <v>597</v>
      </c>
      <c r="D1" s="30" t="s">
        <v>598</v>
      </c>
      <c r="E1" s="30" t="s">
        <v>255</v>
      </c>
      <c r="F1" s="30" t="s">
        <v>111</v>
      </c>
      <c r="G1" s="30" t="s">
        <v>335</v>
      </c>
      <c r="H1" s="30" t="s">
        <v>353</v>
      </c>
      <c r="I1" s="30" t="s">
        <v>397</v>
      </c>
      <c r="J1" s="30" t="s">
        <v>600</v>
      </c>
      <c r="K1" s="30" t="s">
        <v>439</v>
      </c>
      <c r="L1" s="30" t="s">
        <v>452</v>
      </c>
      <c r="M1" s="30" t="s">
        <v>476</v>
      </c>
      <c r="N1" s="30" t="s">
        <v>353</v>
      </c>
    </row>
    <row r="2">
      <c r="A2" s="30" t="s">
        <v>99</v>
      </c>
      <c r="B2" s="30" t="s">
        <v>249</v>
      </c>
      <c r="C2" s="30" t="s">
        <v>254</v>
      </c>
      <c r="D2" s="30" t="s">
        <v>266</v>
      </c>
      <c r="E2" s="30" t="s">
        <v>261</v>
      </c>
      <c r="F2" s="30" t="s">
        <v>113</v>
      </c>
      <c r="G2" s="30" t="s">
        <v>343</v>
      </c>
      <c r="H2" s="30" t="s">
        <v>366</v>
      </c>
      <c r="I2" s="30" t="s">
        <v>409</v>
      </c>
      <c r="J2" s="30" t="s">
        <v>426</v>
      </c>
      <c r="K2" s="30" t="s">
        <v>605</v>
      </c>
      <c r="L2" s="30" t="s">
        <v>607</v>
      </c>
      <c r="M2" s="30" t="s">
        <v>466</v>
      </c>
      <c r="N2" s="30" t="s">
        <v>366</v>
      </c>
    </row>
    <row r="3">
      <c r="B3" s="30" t="s">
        <v>609</v>
      </c>
      <c r="C3" s="30" t="s">
        <v>610</v>
      </c>
      <c r="D3" s="30" t="s">
        <v>611</v>
      </c>
      <c r="E3" s="30" t="s">
        <v>269</v>
      </c>
      <c r="F3" s="30" t="s">
        <v>116</v>
      </c>
      <c r="G3" s="30" t="s">
        <v>348</v>
      </c>
      <c r="H3" s="30" t="s">
        <v>385</v>
      </c>
      <c r="I3" s="30" t="s">
        <v>415</v>
      </c>
      <c r="J3" s="30" t="s">
        <v>613</v>
      </c>
      <c r="K3" s="30" t="s">
        <v>614</v>
      </c>
      <c r="N3" s="30" t="s">
        <v>385</v>
      </c>
    </row>
    <row r="4">
      <c r="F4" s="30" t="s">
        <v>121</v>
      </c>
      <c r="N4" s="30" t="s">
        <v>587</v>
      </c>
    </row>
    <row r="5">
      <c r="F5" s="30"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paperSize="9" orientation="landscape"/>
  <drawing r:id="rId1"/>
</worksheet>
</file>